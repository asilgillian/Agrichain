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TANDAO\Trading\"/>
    </mc:Choice>
  </mc:AlternateContent>
  <xr:revisionPtr revIDLastSave="0" documentId="13_ncr:1_{D0D35437-4C36-4362-97FC-70EB1B6E94CF}" xr6:coauthVersionLast="47" xr6:coauthVersionMax="47" xr10:uidLastSave="{00000000-0000-0000-0000-000000000000}"/>
  <bookViews>
    <workbookView xWindow="-110" yWindow="-110" windowWidth="19420" windowHeight="11500" tabRatio="745" firstSheet="3" activeTab="7" xr2:uid="{00000000-000D-0000-FFFF-FFFF00000000}"/>
  </bookViews>
  <sheets>
    <sheet name="batch 1 and 2" sheetId="20" r:id="rId1"/>
    <sheet name="Purchases" sheetId="21" r:id="rId2"/>
    <sheet name="batch 3" sheetId="22" r:id="rId3"/>
    <sheet name="Purchases_batch 3" sheetId="23" r:id="rId4"/>
    <sheet name="Purchases_batch 4" sheetId="25" r:id="rId5"/>
    <sheet name="batch 4" sheetId="24" r:id="rId6"/>
    <sheet name="Batch 5_17-06-2026" sheetId="26" r:id="rId7"/>
    <sheet name="Purchases_batch 5_17-06-2026" sheetId="27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1" i="27" l="1"/>
  <c r="C34" i="27"/>
  <c r="E8" i="27"/>
  <c r="E24" i="27"/>
  <c r="E25" i="27"/>
  <c r="C25" i="27"/>
  <c r="E23" i="27"/>
  <c r="H27" i="24"/>
  <c r="H26" i="24"/>
  <c r="H21" i="24"/>
  <c r="E22" i="25"/>
  <c r="E20" i="25"/>
  <c r="G8" i="27"/>
  <c r="C8" i="27"/>
  <c r="E21" i="27"/>
  <c r="H7" i="27"/>
  <c r="D6" i="27"/>
  <c r="D8" i="27" s="1"/>
  <c r="E22" i="27"/>
  <c r="C20" i="27"/>
  <c r="C16" i="27"/>
  <c r="C33" i="27" l="1"/>
  <c r="H6" i="27"/>
  <c r="E17" i="27" l="1"/>
  <c r="E18" i="27"/>
  <c r="E16" i="27"/>
  <c r="E21" i="26"/>
  <c r="E27" i="26"/>
  <c r="F5" i="27"/>
  <c r="H5" i="27"/>
  <c r="H3" i="27"/>
  <c r="E20" i="27"/>
  <c r="H4" i="27"/>
  <c r="E4" i="27"/>
  <c r="F3" i="27"/>
  <c r="E16" i="26"/>
  <c r="F4" i="26"/>
  <c r="F5" i="26" s="1"/>
  <c r="F6" i="26" s="1"/>
  <c r="F7" i="26" s="1"/>
  <c r="F8" i="26" s="1"/>
  <c r="F9" i="26" s="1"/>
  <c r="F10" i="26" s="1"/>
  <c r="F11" i="26" s="1"/>
  <c r="F12" i="26" s="1"/>
  <c r="F13" i="26" s="1"/>
  <c r="F14" i="26" s="1"/>
  <c r="F15" i="26" s="1"/>
  <c r="I18" i="25"/>
  <c r="H17" i="25"/>
  <c r="E19" i="25"/>
  <c r="C18" i="25"/>
  <c r="E18" i="25" s="1"/>
  <c r="E14" i="25"/>
  <c r="E13" i="25"/>
  <c r="H18" i="24"/>
  <c r="H17" i="24"/>
  <c r="H16" i="24"/>
  <c r="E17" i="25"/>
  <c r="E15" i="25"/>
  <c r="G5" i="25"/>
  <c r="D5" i="25"/>
  <c r="C5" i="25"/>
  <c r="H4" i="25"/>
  <c r="H5" i="25" s="1"/>
  <c r="F8" i="25" s="1"/>
  <c r="E4" i="25"/>
  <c r="F4" i="25" s="1"/>
  <c r="F3" i="25"/>
  <c r="E26" i="24"/>
  <c r="E23" i="24"/>
  <c r="H8" i="27" l="1"/>
  <c r="E27" i="27" s="1"/>
  <c r="E29" i="27"/>
  <c r="F11" i="27"/>
  <c r="F4" i="27"/>
  <c r="F16" i="26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F47" i="26" s="1"/>
  <c r="F48" i="26" s="1"/>
  <c r="F49" i="26" s="1"/>
  <c r="F50" i="26" s="1"/>
  <c r="F51" i="26" s="1"/>
  <c r="F52" i="26" s="1"/>
  <c r="F53" i="26" s="1"/>
  <c r="F54" i="26" s="1"/>
  <c r="F55" i="26" s="1"/>
  <c r="F56" i="26" s="1"/>
  <c r="F57" i="26" s="1"/>
  <c r="F58" i="26" s="1"/>
  <c r="F59" i="26" s="1"/>
  <c r="F60" i="26" s="1"/>
  <c r="F61" i="26" s="1"/>
  <c r="F62" i="26" s="1"/>
  <c r="F63" i="26" s="1"/>
  <c r="F64" i="26" s="1"/>
  <c r="F65" i="26" s="1"/>
  <c r="F66" i="26" s="1"/>
  <c r="F67" i="26" s="1"/>
  <c r="F68" i="26" s="1"/>
  <c r="F69" i="26" s="1"/>
  <c r="F70" i="26" s="1"/>
  <c r="F71" i="26" s="1"/>
  <c r="F72" i="26" s="1"/>
  <c r="F73" i="26" s="1"/>
  <c r="F74" i="26" s="1"/>
  <c r="F75" i="26" s="1"/>
  <c r="F76" i="26" s="1"/>
  <c r="F77" i="26" s="1"/>
  <c r="F78" i="26" s="1"/>
  <c r="F79" i="26" s="1"/>
  <c r="F80" i="26" s="1"/>
  <c r="F81" i="26" s="1"/>
  <c r="F82" i="26" s="1"/>
  <c r="F83" i="26" s="1"/>
  <c r="F84" i="26" s="1"/>
  <c r="F85" i="26" s="1"/>
  <c r="F86" i="26" s="1"/>
  <c r="F87" i="26" s="1"/>
  <c r="F88" i="26" s="1"/>
  <c r="F89" i="26" s="1"/>
  <c r="F90" i="26" s="1"/>
  <c r="F91" i="26" s="1"/>
  <c r="F92" i="26" s="1"/>
  <c r="F93" i="26" s="1"/>
  <c r="F94" i="26" s="1"/>
  <c r="F95" i="26" s="1"/>
  <c r="F96" i="26" s="1"/>
  <c r="F97" i="26" s="1"/>
  <c r="F98" i="26" s="1"/>
  <c r="F99" i="26" s="1"/>
  <c r="F100" i="26" s="1"/>
  <c r="F101" i="26" s="1"/>
  <c r="F102" i="26" s="1"/>
  <c r="F103" i="26" s="1"/>
  <c r="F104" i="26" s="1"/>
  <c r="F105" i="26" s="1"/>
  <c r="F106" i="26" s="1"/>
  <c r="F107" i="26" s="1"/>
  <c r="F108" i="26" s="1"/>
  <c r="F109" i="26" s="1"/>
  <c r="F110" i="26" s="1"/>
  <c r="F111" i="26" s="1"/>
  <c r="F112" i="26" s="1"/>
  <c r="F113" i="26" s="1"/>
  <c r="F114" i="26" s="1"/>
  <c r="F115" i="26" s="1"/>
  <c r="F116" i="26" s="1"/>
  <c r="F117" i="26" s="1"/>
  <c r="F118" i="26" s="1"/>
  <c r="F119" i="26" s="1"/>
  <c r="F120" i="26" s="1"/>
  <c r="F121" i="26" s="1"/>
  <c r="F122" i="26" s="1"/>
  <c r="F123" i="26" s="1"/>
  <c r="F124" i="26" s="1"/>
  <c r="F125" i="26" s="1"/>
  <c r="F126" i="26" s="1"/>
  <c r="F127" i="26" s="1"/>
  <c r="F128" i="26" s="1"/>
  <c r="F129" i="26" s="1"/>
  <c r="F130" i="26" s="1"/>
  <c r="F131" i="26" s="1"/>
  <c r="F132" i="26" s="1"/>
  <c r="E5" i="25"/>
  <c r="E24" i="25"/>
  <c r="F24" i="25" s="1"/>
  <c r="F29" i="27" l="1"/>
  <c r="E11" i="24"/>
  <c r="F4" i="24"/>
  <c r="F5" i="24" s="1"/>
  <c r="F6" i="24" s="1"/>
  <c r="F7" i="24" s="1"/>
  <c r="F8" i="24" s="1"/>
  <c r="F9" i="24" s="1"/>
  <c r="F10" i="24" s="1"/>
  <c r="C10" i="23"/>
  <c r="D10" i="23"/>
  <c r="E10" i="23"/>
  <c r="G10" i="23"/>
  <c r="H10" i="23"/>
  <c r="E67" i="22"/>
  <c r="F64" i="22"/>
  <c r="F65" i="22" s="1"/>
  <c r="E33" i="23"/>
  <c r="E19" i="23"/>
  <c r="E20" i="23"/>
  <c r="E22" i="23"/>
  <c r="E23" i="23"/>
  <c r="E24" i="23"/>
  <c r="E25" i="23"/>
  <c r="E26" i="23"/>
  <c r="E27" i="23"/>
  <c r="E28" i="23"/>
  <c r="E18" i="23"/>
  <c r="F13" i="23"/>
  <c r="H7" i="23"/>
  <c r="H8" i="23"/>
  <c r="H9" i="23"/>
  <c r="E9" i="23"/>
  <c r="F9" i="23" s="1"/>
  <c r="E8" i="23"/>
  <c r="F8" i="23"/>
  <c r="H4" i="23"/>
  <c r="H5" i="23"/>
  <c r="H6" i="23"/>
  <c r="H3" i="23"/>
  <c r="E5" i="23"/>
  <c r="F5" i="23" s="1"/>
  <c r="E6" i="23"/>
  <c r="F6" i="23" s="1"/>
  <c r="E7" i="23"/>
  <c r="E4" i="23"/>
  <c r="F4" i="23" s="1"/>
  <c r="F3" i="23"/>
  <c r="F11" i="24" l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F39" i="24" s="1"/>
  <c r="F40" i="24" s="1"/>
  <c r="F41" i="24" s="1"/>
  <c r="F42" i="24" s="1"/>
  <c r="F43" i="24" s="1"/>
  <c r="F44" i="24" s="1"/>
  <c r="F45" i="24" s="1"/>
  <c r="F46" i="24" s="1"/>
  <c r="F47" i="24" s="1"/>
  <c r="F48" i="24" s="1"/>
  <c r="F49" i="24" s="1"/>
  <c r="F50" i="24" s="1"/>
  <c r="F51" i="24" s="1"/>
  <c r="F52" i="24" s="1"/>
  <c r="F53" i="24" s="1"/>
  <c r="F54" i="24" s="1"/>
  <c r="F55" i="24" s="1"/>
  <c r="F56" i="24" s="1"/>
  <c r="F57" i="24" s="1"/>
  <c r="F58" i="24" s="1"/>
  <c r="F59" i="24" s="1"/>
  <c r="F60" i="24" s="1"/>
  <c r="F61" i="24" s="1"/>
  <c r="F62" i="24" s="1"/>
  <c r="F63" i="24" s="1"/>
  <c r="F64" i="24" s="1"/>
  <c r="F65" i="24" s="1"/>
  <c r="F66" i="24" s="1"/>
  <c r="F67" i="24" s="1"/>
  <c r="F68" i="24" s="1"/>
  <c r="F69" i="24" s="1"/>
  <c r="F70" i="24" s="1"/>
  <c r="F71" i="24" s="1"/>
  <c r="F72" i="24" s="1"/>
  <c r="F73" i="24" s="1"/>
  <c r="F74" i="24" s="1"/>
  <c r="F75" i="24" s="1"/>
  <c r="F76" i="24" s="1"/>
  <c r="F77" i="24" s="1"/>
  <c r="F78" i="24" s="1"/>
  <c r="F79" i="24" s="1"/>
  <c r="F80" i="24" s="1"/>
  <c r="F81" i="24" s="1"/>
  <c r="F82" i="24" s="1"/>
  <c r="F83" i="24" s="1"/>
  <c r="F84" i="24" s="1"/>
  <c r="F85" i="24" s="1"/>
  <c r="F86" i="24" s="1"/>
  <c r="F87" i="24" s="1"/>
  <c r="F88" i="24" s="1"/>
  <c r="F89" i="24" s="1"/>
  <c r="F90" i="24" s="1"/>
  <c r="F91" i="24" s="1"/>
  <c r="F92" i="24" s="1"/>
  <c r="F93" i="24" s="1"/>
  <c r="F94" i="24" s="1"/>
  <c r="F95" i="24" s="1"/>
  <c r="F96" i="24" s="1"/>
  <c r="F97" i="24" s="1"/>
  <c r="F98" i="24" s="1"/>
  <c r="F99" i="24" s="1"/>
  <c r="F100" i="24" s="1"/>
  <c r="F101" i="24" s="1"/>
  <c r="F102" i="24" s="1"/>
  <c r="F103" i="24" s="1"/>
  <c r="F104" i="24" s="1"/>
  <c r="F105" i="24" s="1"/>
  <c r="F106" i="24" s="1"/>
  <c r="F107" i="24" s="1"/>
  <c r="F108" i="24" s="1"/>
  <c r="F109" i="24" s="1"/>
  <c r="F110" i="24" s="1"/>
  <c r="F111" i="24" s="1"/>
  <c r="F112" i="24" s="1"/>
  <c r="F113" i="24" s="1"/>
  <c r="F114" i="24" s="1"/>
  <c r="F115" i="24" s="1"/>
  <c r="F116" i="24" s="1"/>
  <c r="F117" i="24" s="1"/>
  <c r="F118" i="24" s="1"/>
  <c r="F119" i="24" s="1"/>
  <c r="F120" i="24" s="1"/>
  <c r="F121" i="24" s="1"/>
  <c r="F122" i="24" s="1"/>
  <c r="F123" i="24" s="1"/>
  <c r="F124" i="24" s="1"/>
  <c r="F125" i="24" s="1"/>
  <c r="F126" i="24" s="1"/>
  <c r="F127" i="24" s="1"/>
  <c r="F128" i="24" s="1"/>
  <c r="F129" i="24" s="1"/>
  <c r="F130" i="24" s="1"/>
  <c r="F131" i="24" s="1"/>
  <c r="F132" i="24" s="1"/>
  <c r="E29" i="23"/>
  <c r="F33" i="23" s="1"/>
  <c r="F7" i="23"/>
  <c r="F4" i="22" l="1"/>
  <c r="F5" i="22" s="1"/>
  <c r="F6" i="22" s="1"/>
  <c r="D90" i="20"/>
  <c r="D89" i="20"/>
  <c r="D88" i="20"/>
  <c r="D87" i="20"/>
  <c r="D85" i="20"/>
  <c r="D83" i="20"/>
  <c r="E83" i="20"/>
  <c r="E7" i="21"/>
  <c r="D7" i="21"/>
  <c r="C7" i="21"/>
  <c r="F7" i="22" l="1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F97" i="22" s="1"/>
  <c r="F98" i="22" s="1"/>
  <c r="F99" i="22" s="1"/>
  <c r="F100" i="22" s="1"/>
  <c r="F101" i="22" s="1"/>
  <c r="F102" i="22" s="1"/>
  <c r="F103" i="22" s="1"/>
  <c r="F104" i="22" s="1"/>
  <c r="F105" i="22" s="1"/>
  <c r="F106" i="22" s="1"/>
  <c r="F107" i="22" s="1"/>
  <c r="F108" i="22" s="1"/>
  <c r="F109" i="22" s="1"/>
  <c r="F110" i="22" s="1"/>
  <c r="F111" i="22" s="1"/>
  <c r="F112" i="22" s="1"/>
  <c r="F113" i="22" s="1"/>
  <c r="F114" i="22" s="1"/>
  <c r="F115" i="22" s="1"/>
  <c r="F116" i="22" s="1"/>
  <c r="F117" i="22" s="1"/>
  <c r="F118" i="22" s="1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E60" i="20"/>
  <c r="E59" i="20"/>
  <c r="E53" i="20"/>
  <c r="F17" i="20"/>
  <c r="F18" i="20"/>
  <c r="F19" i="20"/>
  <c r="F20" i="20"/>
  <c r="F21" i="20" s="1"/>
  <c r="F22" i="20" s="1"/>
  <c r="F4" i="20"/>
  <c r="F5" i="20" s="1"/>
  <c r="F6" i="20" s="1"/>
  <c r="F7" i="20" s="1"/>
  <c r="F8" i="20" s="1"/>
  <c r="F9" i="20" s="1"/>
  <c r="F10" i="20" s="1"/>
  <c r="F11" i="20" s="1"/>
  <c r="F12" i="20" s="1"/>
  <c r="F13" i="20" s="1"/>
  <c r="F14" i="20" s="1"/>
  <c r="F15" i="20" s="1"/>
  <c r="F16" i="20" s="1"/>
  <c r="F23" i="20" l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F62" i="20" s="1"/>
  <c r="F63" i="20" s="1"/>
  <c r="F64" i="20" s="1"/>
  <c r="F65" i="20" s="1"/>
  <c r="F66" i="20" s="1"/>
  <c r="F67" i="20" s="1"/>
  <c r="F68" i="20" s="1"/>
  <c r="F69" i="20" s="1"/>
  <c r="F70" i="20" s="1"/>
  <c r="F71" i="20" s="1"/>
  <c r="F72" i="20" s="1"/>
  <c r="F73" i="20" s="1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F103" i="20" s="1"/>
  <c r="F104" i="20" s="1"/>
  <c r="F105" i="20" s="1"/>
  <c r="F106" i="20" s="1"/>
  <c r="F107" i="20" s="1"/>
  <c r="F108" i="20" s="1"/>
  <c r="F109" i="20" s="1"/>
  <c r="F110" i="20" s="1"/>
  <c r="F111" i="20" s="1"/>
  <c r="F112" i="20" s="1"/>
  <c r="F113" i="20" s="1"/>
  <c r="F114" i="20" s="1"/>
  <c r="F115" i="20" s="1"/>
  <c r="F116" i="20" s="1"/>
  <c r="F117" i="20" s="1"/>
  <c r="F118" i="20" s="1"/>
  <c r="F119" i="20" s="1"/>
  <c r="F120" i="20" s="1"/>
  <c r="F121" i="20" s="1"/>
  <c r="F122" i="20" s="1"/>
  <c r="F123" i="20" s="1"/>
  <c r="F124" i="20" s="1"/>
  <c r="F125" i="20" s="1"/>
  <c r="F126" i="20" s="1"/>
  <c r="F127" i="20" s="1"/>
  <c r="F128" i="20" s="1"/>
  <c r="F129" i="20" s="1"/>
  <c r="F130" i="20" s="1"/>
</calcChain>
</file>

<file path=xl/sharedStrings.xml><?xml version="1.0" encoding="utf-8"?>
<sst xmlns="http://schemas.openxmlformats.org/spreadsheetml/2006/main" count="383" uniqueCount="253">
  <si>
    <t>DATE</t>
  </si>
  <si>
    <t xml:space="preserve">CASH </t>
  </si>
  <si>
    <t xml:space="preserve">VN:   </t>
  </si>
  <si>
    <t>PARTICULARS</t>
  </si>
  <si>
    <t>AMOUNT</t>
  </si>
  <si>
    <t>BALANCE</t>
  </si>
  <si>
    <t>DR</t>
  </si>
  <si>
    <t>CR</t>
  </si>
  <si>
    <t>cash in</t>
  </si>
  <si>
    <t>Crop survey western Uganda</t>
  </si>
  <si>
    <t xml:space="preserve">Lunch </t>
  </si>
  <si>
    <t>Fuel expense</t>
  </si>
  <si>
    <t xml:space="preserve">Fuel expense </t>
  </si>
  <si>
    <t xml:space="preserve">Transport facilitation for field agent meeting in Kampala </t>
  </si>
  <si>
    <t>Transfer to Mugisha Michael for the purchase of coffee in Masaka</t>
  </si>
  <si>
    <t>Transfer to Jeremiah Muwanika for the purchase of coffee in Masaka</t>
  </si>
  <si>
    <t>Transfer to Stancoff for the purchase of coffee in southwestern Uganda</t>
  </si>
  <si>
    <t>Transfer to stancoff additional funds for coffee purchase in southwestern Uganda</t>
  </si>
  <si>
    <t>Receipt of funds from Paul Nuwagaba for coffee purchase in Masaka</t>
  </si>
  <si>
    <t>Reimbursement of funds back to Adrine Atwiine from the Masaka account</t>
  </si>
  <si>
    <t>Crop survey fuel expense in Masaka</t>
  </si>
  <si>
    <t>crop survey accommodation in Masaka</t>
  </si>
  <si>
    <t>Lunch in Masaka</t>
  </si>
  <si>
    <t>Facilitation for field agents in Masaka</t>
  </si>
  <si>
    <t xml:space="preserve">withdraw charges </t>
  </si>
  <si>
    <t>Transport from Nansana to Tausi coaches by boda</t>
  </si>
  <si>
    <t>Transport from Kampala to Ishaka</t>
  </si>
  <si>
    <t>Meals</t>
  </si>
  <si>
    <t>Transport from Ishaka to Rubirizi</t>
  </si>
  <si>
    <t>Transport to Ishaka</t>
  </si>
  <si>
    <t xml:space="preserve">Meals </t>
  </si>
  <si>
    <t>Transport to and from Rwandaro</t>
  </si>
  <si>
    <t>Transport to Ibanda from Rubirizi</t>
  </si>
  <si>
    <t>Breakfast</t>
  </si>
  <si>
    <t>Lunch in Ibanda</t>
  </si>
  <si>
    <t xml:space="preserve">Dinner in Ibanda </t>
  </si>
  <si>
    <t xml:space="preserve">Accommodation in Ibanda </t>
  </si>
  <si>
    <t>Transport from Ibanda to Rubirizi</t>
  </si>
  <si>
    <t xml:space="preserve">Breakfast </t>
  </si>
  <si>
    <t xml:space="preserve">Transport to and from Kabeeka's factory </t>
  </si>
  <si>
    <t xml:space="preserve">Dinner </t>
  </si>
  <si>
    <t xml:space="preserve">Truck hire to transport coffee to Kampala </t>
  </si>
  <si>
    <t xml:space="preserve">Transport to Ishaka </t>
  </si>
  <si>
    <t xml:space="preserve">Loading fees </t>
  </si>
  <si>
    <t xml:space="preserve">Padlock </t>
  </si>
  <si>
    <t>Facilitation to move coffee from Ishaka</t>
  </si>
  <si>
    <t>Transport of coffee from Masaka</t>
  </si>
  <si>
    <t>Loading fees for coffee</t>
  </si>
  <si>
    <t xml:space="preserve">weighing of coffee at Julius' factory </t>
  </si>
  <si>
    <t xml:space="preserve">Commission for Alex for mobilisation coffee </t>
  </si>
  <si>
    <t xml:space="preserve">Commission for Jeremiah for coffee mobilisation </t>
  </si>
  <si>
    <t xml:space="preserve">Fuel expense for Michael to travel back to Kampala </t>
  </si>
  <si>
    <t xml:space="preserve">boda hire during coffee mobilisation </t>
  </si>
  <si>
    <t xml:space="preserve">Lunch for Masaka team </t>
  </si>
  <si>
    <t xml:space="preserve">Dinner for Masaka team </t>
  </si>
  <si>
    <t xml:space="preserve">Accommodation for Michael </t>
  </si>
  <si>
    <t>Payment of 16,366kg of coffee from Rubirizi at 12000</t>
  </si>
  <si>
    <t>Batch 1</t>
  </si>
  <si>
    <t>Payment of 8,180kg of coffee from Julius Kivumbi at 12000</t>
  </si>
  <si>
    <t xml:space="preserve">Transfer of funds to Stancoff to facilitate coffee movement </t>
  </si>
  <si>
    <t>Transfer of funds to Jeremiah Muwanika to purchase coffee in Masaka</t>
  </si>
  <si>
    <t>Purchase of 2,381kg of coffee in Masaka from Natema Betty</t>
  </si>
  <si>
    <t>Transfer of 100,000UGX to book coffee from Robert in Masaka</t>
  </si>
  <si>
    <t>Batch 2</t>
  </si>
  <si>
    <t>Purchase of 1,838kg of coffee in Masaka from Gurama coffee factory (Segawa Joseph)</t>
  </si>
  <si>
    <t>Gross Kg</t>
  </si>
  <si>
    <t>Net Kgs</t>
  </si>
  <si>
    <t xml:space="preserve">Supplier </t>
  </si>
  <si>
    <t xml:space="preserve">Natema Betty </t>
  </si>
  <si>
    <t>Date</t>
  </si>
  <si>
    <t>Joseph Segawa</t>
  </si>
  <si>
    <t xml:space="preserve">Deduction </t>
  </si>
  <si>
    <t>Allan Ssenyondo</t>
  </si>
  <si>
    <t xml:space="preserve">Location </t>
  </si>
  <si>
    <t>Masaka</t>
  </si>
  <si>
    <t>Purchase of 2331kg from Allan Ssenyondo</t>
  </si>
  <si>
    <t xml:space="preserve">Total </t>
  </si>
  <si>
    <t xml:space="preserve">Purchase of 1,695kg from Robert </t>
  </si>
  <si>
    <t>Transfer of funds to complete payment of coffee from ssenyondo Allan</t>
  </si>
  <si>
    <t>Transfer of fund to facilitate Jeremiah's accommodation</t>
  </si>
  <si>
    <t xml:space="preserve">Accommodation expense for Jeremiah Muwanika during delivery of coffee to Kampala </t>
  </si>
  <si>
    <t xml:space="preserve">Transfer of funds to facilitate loading and transport of coffee to Kampala </t>
  </si>
  <si>
    <t>Transport expense for coffee to Namanve (Commodity Solution)</t>
  </si>
  <si>
    <t xml:space="preserve">Loading expenses for the coffee </t>
  </si>
  <si>
    <t>Purchase of sacks</t>
  </si>
  <si>
    <t>Robert</t>
  </si>
  <si>
    <t xml:space="preserve">Payment for the first batch delivered </t>
  </si>
  <si>
    <t>payment for the second batch delivered</t>
  </si>
  <si>
    <t>batch 1 total expenditure</t>
  </si>
  <si>
    <t>batch 2 expenditure</t>
  </si>
  <si>
    <t>Batch 3</t>
  </si>
  <si>
    <t>Transfer of funds to facilitate bulking</t>
  </si>
  <si>
    <t>Kampala-Masaka fuel expense</t>
  </si>
  <si>
    <t>Lunch in Masaka for Michael</t>
  </si>
  <si>
    <t>Water and snack</t>
  </si>
  <si>
    <t>Breakfast at Endiro</t>
  </si>
  <si>
    <t>Fuel in Kyotera-coffee mobilisation</t>
  </si>
  <si>
    <t xml:space="preserve">dinner </t>
  </si>
  <si>
    <t>snack</t>
  </si>
  <si>
    <t>Accommodation expense</t>
  </si>
  <si>
    <t>Receipt of funds for coffee purchase</t>
  </si>
  <si>
    <t>coffee advance for Robert Samula</t>
  </si>
  <si>
    <t>coffee advance for Kafeero Baptist</t>
  </si>
  <si>
    <t>coffee advance for Ddamulira Eria</t>
  </si>
  <si>
    <t>purchase of sampling spear</t>
  </si>
  <si>
    <t>parking fees</t>
  </si>
  <si>
    <t>snacks</t>
  </si>
  <si>
    <t>lunch for Jeremiah</t>
  </si>
  <si>
    <t>Diesel fuel expense at Morgas</t>
  </si>
  <si>
    <t>Weighing of coffee at Katumba's factory</t>
  </si>
  <si>
    <t xml:space="preserve">Second advance payment for Robert's coffee </t>
  </si>
  <si>
    <t xml:space="preserve">Advance payment for Julius Kivumbi's coffee </t>
  </si>
  <si>
    <t xml:space="preserve">Second advance payment for Kafeero Baptist's coffee </t>
  </si>
  <si>
    <t xml:space="preserve">Second advance payment for Ddamulira Eria's coffee </t>
  </si>
  <si>
    <t xml:space="preserve">Payment for Katumba's coffee </t>
  </si>
  <si>
    <t>purchase of socks and notebook and pen</t>
  </si>
  <si>
    <t>Accommodation expense for Michael</t>
  </si>
  <si>
    <t>Reimbursement of Happy from Batch 1</t>
  </si>
  <si>
    <t xml:space="preserve">Part payment for truck hire to transport coffee to Kampala </t>
  </si>
  <si>
    <t>Loading fees</t>
  </si>
  <si>
    <t>Commission for Katwalo</t>
  </si>
  <si>
    <t>Transport expense for coffee from Vincent's factory to the truck</t>
  </si>
  <si>
    <t xml:space="preserve">Payment for Katwalo's coffee </t>
  </si>
  <si>
    <t xml:space="preserve">Payment for Vicent's coffee </t>
  </si>
  <si>
    <t xml:space="preserve">Receipt of additional funds from Adrine </t>
  </si>
  <si>
    <t xml:space="preserve">Receipt of funds from Adrine </t>
  </si>
  <si>
    <t xml:space="preserve">Additional payment for Kafeero's coffee </t>
  </si>
  <si>
    <t>Additional payment for Julius Kivumbi's coffee</t>
  </si>
  <si>
    <t xml:space="preserve">Additional payment for Robert Samula's coffee </t>
  </si>
  <si>
    <t xml:space="preserve">Additioanl payment for Ddamulira's coffee </t>
  </si>
  <si>
    <t>Loading expense</t>
  </si>
  <si>
    <t xml:space="preserve">Transport of coffee to the main truck </t>
  </si>
  <si>
    <t xml:space="preserve">Loading and truck offloading </t>
  </si>
  <si>
    <t xml:space="preserve">Final payment for truck hire </t>
  </si>
  <si>
    <t xml:space="preserve">weighbridge fees </t>
  </si>
  <si>
    <t xml:space="preserve">Jeremiah's part commission </t>
  </si>
  <si>
    <t xml:space="preserve">Katwalo </t>
  </si>
  <si>
    <t>KGs deducted</t>
  </si>
  <si>
    <t>Vicent Kizza</t>
  </si>
  <si>
    <t>Price Paid</t>
  </si>
  <si>
    <t>Kafeero Baptist</t>
  </si>
  <si>
    <t>Julius Kivumbi</t>
  </si>
  <si>
    <t>Robert Samula</t>
  </si>
  <si>
    <t>Katumba</t>
  </si>
  <si>
    <t>Ddamulira Eria</t>
  </si>
  <si>
    <t xml:space="preserve">TOTAL </t>
  </si>
  <si>
    <t>TOTAL BATCH EXPENSES</t>
  </si>
  <si>
    <t xml:space="preserve">TOTAL RECEIVED FROM ADRINE FOR THE BATCH </t>
  </si>
  <si>
    <t>REVENUE</t>
  </si>
  <si>
    <t>SC 18</t>
  </si>
  <si>
    <t>KG</t>
  </si>
  <si>
    <t>SC 15</t>
  </si>
  <si>
    <t>SC 12</t>
  </si>
  <si>
    <t>BLACK BEANS</t>
  </si>
  <si>
    <t>HUSKS</t>
  </si>
  <si>
    <t>DISCOLOURED</t>
  </si>
  <si>
    <t>PODS</t>
  </si>
  <si>
    <t>BHP</t>
  </si>
  <si>
    <t>SWEEPING</t>
  </si>
  <si>
    <t>coffee processing and transport to the buyer's warehouse</t>
  </si>
  <si>
    <t xml:space="preserve">Obed's commission </t>
  </si>
  <si>
    <t>Bags</t>
  </si>
  <si>
    <t>Transport for bags</t>
  </si>
  <si>
    <t xml:space="preserve">Rebagging casuals </t>
  </si>
  <si>
    <t>Lunch</t>
  </si>
  <si>
    <t>TOTAL EXPENDITURE</t>
  </si>
  <si>
    <t>PRICE</t>
  </si>
  <si>
    <t>Transfer of funds to pay processing and transport to buyer's warehouse</t>
  </si>
  <si>
    <t xml:space="preserve">Obed's transport to acccompany coffee for offloading </t>
  </si>
  <si>
    <t>Airtime for Elizabeth at Platinum as tip for wonderful support</t>
  </si>
  <si>
    <t>Reimbursement from Adrine for money spent on the batch</t>
  </si>
  <si>
    <t>Receipt of funds for batch expenses</t>
  </si>
  <si>
    <t>Receipt of funds to clear arrears</t>
  </si>
  <si>
    <t>Refund of balances from batch 3</t>
  </si>
  <si>
    <t>bank charges</t>
  </si>
  <si>
    <t>Transfer of funds for coffee purchasing</t>
  </si>
  <si>
    <t>Part payment for Robert's coffee</t>
  </si>
  <si>
    <t xml:space="preserve">Transfer of funds for coffee purchasing </t>
  </si>
  <si>
    <t xml:space="preserve">Purchase of fuel </t>
  </si>
  <si>
    <t>Field facilitation for coffee mobilisation</t>
  </si>
  <si>
    <t>Reimbursement of Happy's money from batch 3</t>
  </si>
  <si>
    <t>Jeremiah and Michael's breakfast</t>
  </si>
  <si>
    <t>Snacks</t>
  </si>
  <si>
    <t xml:space="preserve">Fuel added to facilitate bulking </t>
  </si>
  <si>
    <t>Dinner for three</t>
  </si>
  <si>
    <t>Purchase of Katumba Vincent coffee</t>
  </si>
  <si>
    <t>Purchase of Robert Samula's coffee</t>
  </si>
  <si>
    <t>Transfer of additional funds for coffee purchase</t>
  </si>
  <si>
    <t>Partial payment for truck hire to transport coffee to Kampala</t>
  </si>
  <si>
    <t>Accommodation for a night in Masaka</t>
  </si>
  <si>
    <t>Additional payment for car hire to transport coffee</t>
  </si>
  <si>
    <t xml:space="preserve">Jeremiah's commission </t>
  </si>
  <si>
    <t>grading, drying and coloursorting plus transport</t>
  </si>
  <si>
    <t>Tips for the workers at the factory</t>
  </si>
  <si>
    <t>Katumba Vincent</t>
  </si>
  <si>
    <t>Discoloured</t>
  </si>
  <si>
    <t>Balance b/f from batch 4</t>
  </si>
  <si>
    <t>Part payment to Julius Kivumbi for coffee</t>
  </si>
  <si>
    <t>Transfer of funds to Eria to cover bulking costs</t>
  </si>
  <si>
    <t>Receipt of funds for cofffee purchasing</t>
  </si>
  <si>
    <t xml:space="preserve">Purchase of fuel at Jalia shell station </t>
  </si>
  <si>
    <t>Part payment for truck hire to transport coffee from Julius and Kalisizo to Kampala</t>
  </si>
  <si>
    <t>Additional payment for Julius Kivumbi coffee</t>
  </si>
  <si>
    <t>Transfer of momo to pay for loading and weighing at Julius</t>
  </si>
  <si>
    <t xml:space="preserve">Receipt of additional funds for coffee purchasing </t>
  </si>
  <si>
    <t xml:space="preserve">Payment for coffee at Deus' factory </t>
  </si>
  <si>
    <t xml:space="preserve">Payment for coffee transportation to Kampala from Deus' factory </t>
  </si>
  <si>
    <t>Facilitation for Joel to accompany coffee to Transgas</t>
  </si>
  <si>
    <t>Receipt of funds from Godwin via momo to pay Deus</t>
  </si>
  <si>
    <t>Receipt of funds from Adrine via momo to pay Deus</t>
  </si>
  <si>
    <t>Payment of Deus via momo</t>
  </si>
  <si>
    <t>Eria's commission for coffee sourcing</t>
  </si>
  <si>
    <t>Jeremiah's part commission for coffee sourcing</t>
  </si>
  <si>
    <t>Tips at the Stanbic bank</t>
  </si>
  <si>
    <t>Deus Ntege</t>
  </si>
  <si>
    <t>Transport cost for coffee from Bukomansimbi to Masaka</t>
  </si>
  <si>
    <t>Purchase of coffee from Brendon</t>
  </si>
  <si>
    <t>Reimbursement of Godwin Kanzira</t>
  </si>
  <si>
    <t>Purchase of coffee from Ronald Musoke</t>
  </si>
  <si>
    <t>Payment of loading, weighing and transport</t>
  </si>
  <si>
    <t>Payment of loading of coffee from Bukomansimbi</t>
  </si>
  <si>
    <t xml:space="preserve">Transfer of funds to Happy to purchase coffee </t>
  </si>
  <si>
    <t xml:space="preserve">Payment of Obed for quality supervision </t>
  </si>
  <si>
    <t>Payment for a truck from Kalisizo</t>
  </si>
  <si>
    <t>Payment of transport for Joel to return to Masaka</t>
  </si>
  <si>
    <t xml:space="preserve">Additional payment fo 11-ton truck to transport coffee to Kampala </t>
  </si>
  <si>
    <t>Drying and grading cost</t>
  </si>
  <si>
    <t xml:space="preserve">Brendon </t>
  </si>
  <si>
    <t xml:space="preserve">coloursorting and handling </t>
  </si>
  <si>
    <t xml:space="preserve">Fuel </t>
  </si>
  <si>
    <t xml:space="preserve">Lunch during processing </t>
  </si>
  <si>
    <t xml:space="preserve">Tip for workers </t>
  </si>
  <si>
    <t xml:space="preserve">rebagging and bulking loading </t>
  </si>
  <si>
    <t xml:space="preserve">coffee movement during processing </t>
  </si>
  <si>
    <t xml:space="preserve">Transport cost for moving coffee from Black House </t>
  </si>
  <si>
    <t xml:space="preserve">Loading and weighing coffee out </t>
  </si>
  <si>
    <t xml:space="preserve">Loading of undegrades and transportation from Transgaz to Platinum </t>
  </si>
  <si>
    <t>Loading of undergrades and handpicking charge</t>
  </si>
  <si>
    <t>Purchase of 203kgs of screen 18</t>
  </si>
  <si>
    <t>Transport charge adn extra charge for overnight -UBF 262F</t>
  </si>
  <si>
    <t>Milling of undegrades</t>
  </si>
  <si>
    <t xml:space="preserve">Receipt of funds for coffee processing </t>
  </si>
  <si>
    <t xml:space="preserve">Transport fare for coffee to Ibero </t>
  </si>
  <si>
    <t>Allowance for Arnold to offload</t>
  </si>
  <si>
    <t>Husks</t>
  </si>
  <si>
    <t>Pods</t>
  </si>
  <si>
    <t>Ronald Musoke</t>
  </si>
  <si>
    <t>reprocessing charge at Platinum</t>
  </si>
  <si>
    <t xml:space="preserve">Additional loading and offloading  </t>
  </si>
  <si>
    <t xml:space="preserve">Tips for overtime at Platinum </t>
  </si>
  <si>
    <t>Production loss</t>
  </si>
  <si>
    <t>Amount</t>
  </si>
  <si>
    <t>Production outturn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</si>
</sst>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€_-;\-* #,##0.00\ _€_-;_-* &quot;-&quot;??\ _€_-;_-@_-"/>
    <numFmt numFmtId="167" formatCode="_-* #,##0\ _€_-;\-* #,##0\ _€_-;_-* &quot;-&quot;??\ _€_-;_-@_-"/>
    <numFmt numFmtId="168" formatCode="[$-409]d\-mmm\-yy;@"/>
    <numFmt numFmtId="169" formatCode="_(* #,##0_);_(* \(#,##0\);_(* &quot;-&quot;??_);_(@_)"/>
  </numFmts>
  <fonts count="4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u val="singleAccounting"/>
      <sz val="11"/>
      <name val="Times New Roman"/>
      <family val="1"/>
    </font>
    <font>
      <u val="singleAccounting"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  <font>
      <b/>
      <u val="singleAccounting"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22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1">
    <xf numFmtId="0" fontId="0" fillId="0" borderId="0"/>
    <xf numFmtId="166" fontId="11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2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8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2" borderId="1" applyNumberFormat="0" applyAlignment="0" applyProtection="0"/>
    <xf numFmtId="0" fontId="21" fillId="14" borderId="2" applyNumberFormat="0" applyAlignment="0" applyProtection="0"/>
    <xf numFmtId="0" fontId="22" fillId="0" borderId="0" applyNumberFormat="0" applyFill="0" applyBorder="0" applyAlignment="0" applyProtection="0"/>
    <xf numFmtId="0" fontId="23" fillId="15" borderId="0" applyNumberFormat="0" applyBorder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7" fillId="5" borderId="1" applyNumberFormat="0" applyAlignment="0" applyProtection="0"/>
    <xf numFmtId="0" fontId="28" fillId="0" borderId="6" applyNumberFormat="0" applyFill="0" applyAlignment="0" applyProtection="0"/>
    <xf numFmtId="0" fontId="29" fillId="16" borderId="0" applyNumberFormat="0" applyBorder="0" applyAlignment="0" applyProtection="0"/>
    <xf numFmtId="0" fontId="8" fillId="0" borderId="0"/>
    <xf numFmtId="0" fontId="14" fillId="17" borderId="7" applyNumberFormat="0" applyAlignment="0" applyProtection="0"/>
    <xf numFmtId="0" fontId="30" fillId="2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4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</cellStyleXfs>
  <cellXfs count="41">
    <xf numFmtId="0" fontId="0" fillId="0" borderId="0" xfId="0"/>
    <xf numFmtId="0" fontId="12" fillId="0" borderId="0" xfId="0" applyFont="1"/>
    <xf numFmtId="167" fontId="15" fillId="0" borderId="0" xfId="1" applyNumberFormat="1" applyFont="1" applyFill="1"/>
    <xf numFmtId="168" fontId="12" fillId="0" borderId="0" xfId="0" applyNumberFormat="1" applyFont="1" applyAlignment="1">
      <alignment horizontal="right" vertical="center"/>
    </xf>
    <xf numFmtId="0" fontId="13" fillId="0" borderId="0" xfId="54" applyFont="1" applyAlignment="1">
      <alignment horizontal="center"/>
    </xf>
    <xf numFmtId="0" fontId="16" fillId="0" borderId="0" xfId="54" applyFont="1" applyAlignment="1">
      <alignment horizontal="center"/>
    </xf>
    <xf numFmtId="169" fontId="13" fillId="0" borderId="10" xfId="1" applyNumberFormat="1" applyFont="1" applyFill="1" applyBorder="1" applyAlignment="1"/>
    <xf numFmtId="169" fontId="13" fillId="0" borderId="11" xfId="1" applyNumberFormat="1" applyFont="1" applyFill="1" applyBorder="1" applyAlignment="1"/>
    <xf numFmtId="169" fontId="0" fillId="0" borderId="11" xfId="1" applyNumberFormat="1" applyFont="1" applyBorder="1" applyAlignment="1"/>
    <xf numFmtId="168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167" fontId="12" fillId="0" borderId="0" xfId="1" applyNumberFormat="1" applyFont="1"/>
    <xf numFmtId="167" fontId="0" fillId="0" borderId="0" xfId="1" applyNumberFormat="1" applyFont="1"/>
    <xf numFmtId="167" fontId="35" fillId="0" borderId="0" xfId="1" applyNumberFormat="1" applyFont="1" applyFill="1" applyAlignment="1">
      <alignment horizontal="center"/>
    </xf>
    <xf numFmtId="167" fontId="36" fillId="0" borderId="0" xfId="1" applyNumberFormat="1" applyFont="1" applyAlignment="1">
      <alignment horizontal="center"/>
    </xf>
    <xf numFmtId="167" fontId="0" fillId="0" borderId="0" xfId="0" applyNumberFormat="1"/>
    <xf numFmtId="167" fontId="12" fillId="0" borderId="0" xfId="1" applyNumberFormat="1" applyFont="1" applyFill="1"/>
    <xf numFmtId="167" fontId="0" fillId="0" borderId="0" xfId="1" applyNumberFormat="1" applyFont="1" applyFill="1"/>
    <xf numFmtId="169" fontId="11" fillId="0" borderId="11" xfId="1" applyNumberFormat="1" applyFont="1" applyBorder="1" applyAlignment="1"/>
    <xf numFmtId="169" fontId="12" fillId="0" borderId="11" xfId="1" applyNumberFormat="1" applyFont="1" applyBorder="1" applyAlignment="1"/>
    <xf numFmtId="0" fontId="0" fillId="0" borderId="0" xfId="0" applyAlignment="1">
      <alignment wrapText="1"/>
    </xf>
    <xf numFmtId="0" fontId="13" fillId="0" borderId="0" xfId="54" applyFont="1"/>
    <xf numFmtId="169" fontId="11" fillId="0" borderId="11" xfId="1" applyNumberFormat="1" applyFont="1" applyFill="1" applyBorder="1" applyAlignment="1"/>
    <xf numFmtId="168" fontId="0" fillId="0" borderId="0" xfId="0" applyNumberFormat="1"/>
    <xf numFmtId="167" fontId="11" fillId="0" borderId="0" xfId="1" applyNumberFormat="1" applyFont="1"/>
    <xf numFmtId="168" fontId="12" fillId="0" borderId="0" xfId="0" applyNumberFormat="1" applyFont="1"/>
    <xf numFmtId="9" fontId="0" fillId="0" borderId="0" xfId="100" applyFont="1"/>
    <xf numFmtId="9" fontId="12" fillId="0" borderId="0" xfId="100" applyFont="1"/>
    <xf numFmtId="167" fontId="0" fillId="0" borderId="0" xfId="100" applyNumberFormat="1" applyFont="1"/>
    <xf numFmtId="43" fontId="0" fillId="0" borderId="0" xfId="0" applyNumberFormat="1"/>
    <xf numFmtId="167" fontId="37" fillId="0" borderId="0" xfId="1" applyNumberFormat="1" applyFont="1"/>
    <xf numFmtId="167" fontId="38" fillId="0" borderId="0" xfId="1" applyNumberFormat="1" applyFont="1"/>
    <xf numFmtId="0" fontId="0" fillId="0" borderId="0" xfId="0" applyAlignment="1">
      <alignment horizontal="left"/>
    </xf>
    <xf numFmtId="0" fontId="15" fillId="0" borderId="0" xfId="54" applyFont="1" applyAlignment="1">
      <alignment horizontal="center"/>
    </xf>
    <xf numFmtId="0" fontId="15" fillId="0" borderId="0" xfId="54" applyFont="1"/>
    <xf numFmtId="167" fontId="39" fillId="0" borderId="0" xfId="1" applyNumberFormat="1" applyFont="1" applyAlignment="1">
      <alignment horizontal="center"/>
    </xf>
    <xf numFmtId="169" fontId="15" fillId="0" borderId="10" xfId="1" applyNumberFormat="1" applyFont="1" applyFill="1" applyBorder="1" applyAlignment="1"/>
    <xf numFmtId="169" fontId="15" fillId="0" borderId="11" xfId="1" applyNumberFormat="1" applyFont="1" applyFill="1" applyBorder="1" applyAlignment="1"/>
    <xf numFmtId="0" fontId="12" fillId="0" borderId="0" xfId="0" applyFont="1" applyAlignment="1">
      <alignment horizontal="left"/>
    </xf>
    <xf numFmtId="43" fontId="12" fillId="0" borderId="0" xfId="0" applyNumberFormat="1" applyFont="1"/>
    <xf numFmtId="0" fontId="0" fillId="0" borderId="0" xfId="0" applyFill="1"/>
  </cellXfs>
  <cellStyles count="101">
    <cellStyle name="20% - Accent1 2" xfId="12" xr:uid="{00000000-0005-0000-0000-000000000000}"/>
    <cellStyle name="20% - Accent2 2" xfId="13" xr:uid="{00000000-0005-0000-0000-000001000000}"/>
    <cellStyle name="20% - Accent3 2" xfId="14" xr:uid="{00000000-0005-0000-0000-000002000000}"/>
    <cellStyle name="20% - Accent4 2" xfId="15" xr:uid="{00000000-0005-0000-0000-000003000000}"/>
    <cellStyle name="20% - Accent5 2" xfId="16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19" xr:uid="{00000000-0005-0000-0000-000007000000}"/>
    <cellStyle name="40% - Accent3 2" xfId="20" xr:uid="{00000000-0005-0000-0000-000008000000}"/>
    <cellStyle name="40% - Accent4 2" xfId="21" xr:uid="{00000000-0005-0000-0000-000009000000}"/>
    <cellStyle name="40% - Accent5 2" xfId="22" xr:uid="{00000000-0005-0000-0000-00000A000000}"/>
    <cellStyle name="40% - Accent6 2" xfId="23" xr:uid="{00000000-0005-0000-0000-00000B000000}"/>
    <cellStyle name="60% - Accent1 2" xfId="24" xr:uid="{00000000-0005-0000-0000-00000C000000}"/>
    <cellStyle name="60% - Accent2 2" xfId="25" xr:uid="{00000000-0005-0000-0000-00000D000000}"/>
    <cellStyle name="60% - Accent3 2" xfId="26" xr:uid="{00000000-0005-0000-0000-00000E000000}"/>
    <cellStyle name="60% - Accent4 2" xfId="27" xr:uid="{00000000-0005-0000-0000-00000F000000}"/>
    <cellStyle name="60% - Accent5 2" xfId="28" xr:uid="{00000000-0005-0000-0000-000010000000}"/>
    <cellStyle name="60% - Accent6 2" xfId="29" xr:uid="{00000000-0005-0000-0000-000011000000}"/>
    <cellStyle name="Accent1 2" xfId="30" xr:uid="{00000000-0005-0000-0000-000012000000}"/>
    <cellStyle name="Accent2 2" xfId="31" xr:uid="{00000000-0005-0000-0000-000013000000}"/>
    <cellStyle name="Accent3 2" xfId="32" xr:uid="{00000000-0005-0000-0000-000014000000}"/>
    <cellStyle name="Accent4 2" xfId="33" xr:uid="{00000000-0005-0000-0000-000015000000}"/>
    <cellStyle name="Accent5 2" xfId="34" xr:uid="{00000000-0005-0000-0000-000016000000}"/>
    <cellStyle name="Accent6 2" xfId="35" xr:uid="{00000000-0005-0000-0000-000017000000}"/>
    <cellStyle name="Bad 2" xfId="36" xr:uid="{00000000-0005-0000-0000-000018000000}"/>
    <cellStyle name="Calculation 2" xfId="37" xr:uid="{00000000-0005-0000-0000-000019000000}"/>
    <cellStyle name="Check Cell 2" xfId="38" xr:uid="{00000000-0005-0000-0000-00001A000000}"/>
    <cellStyle name="Comma" xfId="1" builtinId="3"/>
    <cellStyle name="Comma 2" xfId="6" xr:uid="{00000000-0005-0000-0000-00001C000000}"/>
    <cellStyle name="Comma 2 2" xfId="7" xr:uid="{00000000-0005-0000-0000-00001D000000}"/>
    <cellStyle name="Comma 3" xfId="3" xr:uid="{00000000-0005-0000-0000-00001E000000}"/>
    <cellStyle name="Comma 3 2" xfId="55" xr:uid="{00000000-0005-0000-0000-00001F000000}"/>
    <cellStyle name="Comma 3 2 2" xfId="59" xr:uid="{00000000-0005-0000-0000-000020000000}"/>
    <cellStyle name="Comma 3 2 2 2" xfId="81" xr:uid="{00000000-0005-0000-0000-000021000000}"/>
    <cellStyle name="Comma 3 2 2 3" xfId="96" xr:uid="{00000000-0005-0000-0000-000022000000}"/>
    <cellStyle name="Comma 3 2 3" xfId="77" xr:uid="{00000000-0005-0000-0000-000023000000}"/>
    <cellStyle name="Comma 3 2 4" xfId="92" xr:uid="{00000000-0005-0000-0000-000024000000}"/>
    <cellStyle name="Comma 3 3" xfId="57" xr:uid="{00000000-0005-0000-0000-000025000000}"/>
    <cellStyle name="Comma 3 3 2" xfId="79" xr:uid="{00000000-0005-0000-0000-000026000000}"/>
    <cellStyle name="Comma 3 3 3" xfId="94" xr:uid="{00000000-0005-0000-0000-000027000000}"/>
    <cellStyle name="Comma 3 4" xfId="61" xr:uid="{00000000-0005-0000-0000-000028000000}"/>
    <cellStyle name="Comma 3 4 2" xfId="83" xr:uid="{00000000-0005-0000-0000-000029000000}"/>
    <cellStyle name="Comma 3 4 3" xfId="98" xr:uid="{00000000-0005-0000-0000-00002A000000}"/>
    <cellStyle name="Comma 3 5" xfId="71" xr:uid="{00000000-0005-0000-0000-00002B000000}"/>
    <cellStyle name="Comma 3 6" xfId="86" xr:uid="{00000000-0005-0000-0000-00002C000000}"/>
    <cellStyle name="Comma 4" xfId="11" xr:uid="{00000000-0005-0000-0000-00002D000000}"/>
    <cellStyle name="Comma 4 2" xfId="74" xr:uid="{00000000-0005-0000-0000-00002E000000}"/>
    <cellStyle name="Comma 4 3" xfId="89" xr:uid="{00000000-0005-0000-0000-00002F000000}"/>
    <cellStyle name="Comma 5" xfId="64" xr:uid="{00000000-0005-0000-0000-000030000000}"/>
    <cellStyle name="Comma 6" xfId="68" xr:uid="{00000000-0005-0000-0000-000031000000}"/>
    <cellStyle name="Currency 2" xfId="8" xr:uid="{00000000-0005-0000-0000-000032000000}"/>
    <cellStyle name="Currency 3" xfId="9" xr:uid="{00000000-0005-0000-0000-000033000000}"/>
    <cellStyle name="Currency 3 2" xfId="72" xr:uid="{00000000-0005-0000-0000-000034000000}"/>
    <cellStyle name="Currency 3 3" xfId="87" xr:uid="{00000000-0005-0000-0000-000035000000}"/>
    <cellStyle name="Explanatory Text 2" xfId="39" xr:uid="{00000000-0005-0000-0000-000036000000}"/>
    <cellStyle name="Good 2" xfId="40" xr:uid="{00000000-0005-0000-0000-000037000000}"/>
    <cellStyle name="Heading 1 2" xfId="41" xr:uid="{00000000-0005-0000-0000-000038000000}"/>
    <cellStyle name="Heading 2 2" xfId="42" xr:uid="{00000000-0005-0000-0000-000039000000}"/>
    <cellStyle name="Heading 3 2" xfId="43" xr:uid="{00000000-0005-0000-0000-00003A000000}"/>
    <cellStyle name="Heading 4 2" xfId="44" xr:uid="{00000000-0005-0000-0000-00003B000000}"/>
    <cellStyle name="Input 2" xfId="45" xr:uid="{00000000-0005-0000-0000-00003C000000}"/>
    <cellStyle name="Linked Cell 2" xfId="46" xr:uid="{00000000-0005-0000-0000-00003D000000}"/>
    <cellStyle name="Neutral 2" xfId="47" xr:uid="{00000000-0005-0000-0000-00003E000000}"/>
    <cellStyle name="Normal" xfId="0" builtinId="0"/>
    <cellStyle name="Normal 2" xfId="4" xr:uid="{00000000-0005-0000-0000-000040000000}"/>
    <cellStyle name="Normal 2 2" xfId="48" xr:uid="{00000000-0005-0000-0000-000041000000}"/>
    <cellStyle name="Normal 2 2 2" xfId="75" xr:uid="{00000000-0005-0000-0000-000042000000}"/>
    <cellStyle name="Normal 2 2 3" xfId="90" xr:uid="{00000000-0005-0000-0000-000043000000}"/>
    <cellStyle name="Normal 3" xfId="5" xr:uid="{00000000-0005-0000-0000-000044000000}"/>
    <cellStyle name="Normal 4" xfId="2" xr:uid="{00000000-0005-0000-0000-000045000000}"/>
    <cellStyle name="Normal 4 2" xfId="54" xr:uid="{00000000-0005-0000-0000-000046000000}"/>
    <cellStyle name="Normal 4 2 2" xfId="58" xr:uid="{00000000-0005-0000-0000-000047000000}"/>
    <cellStyle name="Normal 4 2 2 2" xfId="80" xr:uid="{00000000-0005-0000-0000-000048000000}"/>
    <cellStyle name="Normal 4 2 2 3" xfId="95" xr:uid="{00000000-0005-0000-0000-000049000000}"/>
    <cellStyle name="Normal 4 2 3" xfId="62" xr:uid="{00000000-0005-0000-0000-00004A000000}"/>
    <cellStyle name="Normal 4 2 3 2" xfId="84" xr:uid="{00000000-0005-0000-0000-00004B000000}"/>
    <cellStyle name="Normal 4 2 3 3" xfId="99" xr:uid="{00000000-0005-0000-0000-00004C000000}"/>
    <cellStyle name="Normal 4 2 4" xfId="76" xr:uid="{00000000-0005-0000-0000-00004D000000}"/>
    <cellStyle name="Normal 4 2 5" xfId="91" xr:uid="{00000000-0005-0000-0000-00004E000000}"/>
    <cellStyle name="Normal 4 3" xfId="56" xr:uid="{00000000-0005-0000-0000-00004F000000}"/>
    <cellStyle name="Normal 4 3 2" xfId="78" xr:uid="{00000000-0005-0000-0000-000050000000}"/>
    <cellStyle name="Normal 4 3 3" xfId="93" xr:uid="{00000000-0005-0000-0000-000051000000}"/>
    <cellStyle name="Normal 4 4" xfId="60" xr:uid="{00000000-0005-0000-0000-000052000000}"/>
    <cellStyle name="Normal 4 4 2" xfId="82" xr:uid="{00000000-0005-0000-0000-000053000000}"/>
    <cellStyle name="Normal 4 4 3" xfId="97" xr:uid="{00000000-0005-0000-0000-000054000000}"/>
    <cellStyle name="Normal 4 5" xfId="70" xr:uid="{00000000-0005-0000-0000-000055000000}"/>
    <cellStyle name="Normal 4 6" xfId="85" xr:uid="{00000000-0005-0000-0000-000056000000}"/>
    <cellStyle name="Normal 5" xfId="10" xr:uid="{00000000-0005-0000-0000-000057000000}"/>
    <cellStyle name="Normal 5 2" xfId="73" xr:uid="{00000000-0005-0000-0000-000058000000}"/>
    <cellStyle name="Normal 5 3" xfId="88" xr:uid="{00000000-0005-0000-0000-000059000000}"/>
    <cellStyle name="Normal 6" xfId="63" xr:uid="{00000000-0005-0000-0000-00005A000000}"/>
    <cellStyle name="Normal 7" xfId="66" xr:uid="{00000000-0005-0000-0000-00005B000000}"/>
    <cellStyle name="Normal 8" xfId="69" xr:uid="{00000000-0005-0000-0000-00005C000000}"/>
    <cellStyle name="Note 2" xfId="49" xr:uid="{00000000-0005-0000-0000-00005D000000}"/>
    <cellStyle name="Output 2" xfId="50" xr:uid="{00000000-0005-0000-0000-00005E000000}"/>
    <cellStyle name="Per cent" xfId="100" builtinId="5"/>
    <cellStyle name="Percent 2" xfId="65" xr:uid="{00000000-0005-0000-0000-00005F000000}"/>
    <cellStyle name="Percent 3" xfId="67" xr:uid="{00000000-0005-0000-0000-000060000000}"/>
    <cellStyle name="Title 2" xfId="51" xr:uid="{00000000-0005-0000-0000-000061000000}"/>
    <cellStyle name="Total 2" xfId="52" xr:uid="{00000000-0005-0000-0000-000062000000}"/>
    <cellStyle name="Warning Text 2" xfId="53" xr:uid="{00000000-0005-0000-0000-00006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50"/>
  <sheetViews>
    <sheetView topLeftCell="A73" zoomScale="89" zoomScaleNormal="100" workbookViewId="0">
      <selection activeCell="D88" sqref="D88"/>
    </sheetView>
  </sheetViews>
  <sheetFormatPr defaultColWidth="9.1796875" defaultRowHeight="13" x14ac:dyDescent="0.3"/>
  <cols>
    <col min="1" max="1" width="10.81640625" style="9" customWidth="1"/>
    <col min="2" max="2" width="9.54296875" style="10" bestFit="1" customWidth="1"/>
    <col min="3" max="3" width="111" customWidth="1"/>
    <col min="4" max="4" width="15.54296875" style="11" bestFit="1" customWidth="1"/>
    <col min="5" max="5" width="14.54296875" style="12" bestFit="1" customWidth="1"/>
    <col min="6" max="6" width="14.7265625" style="8" customWidth="1"/>
    <col min="7" max="7" width="12.81640625" customWidth="1"/>
    <col min="8" max="8" width="15" bestFit="1" customWidth="1"/>
    <col min="9" max="10" width="14.54296875" bestFit="1" customWidth="1"/>
  </cols>
  <sheetData>
    <row r="1" spans="1:6" ht="17" x14ac:dyDescent="0.6">
      <c r="B1" s="4"/>
      <c r="C1" s="21" t="s">
        <v>1</v>
      </c>
      <c r="D1" s="13" t="s">
        <v>6</v>
      </c>
      <c r="E1" s="14" t="s">
        <v>7</v>
      </c>
      <c r="F1" s="6"/>
    </row>
    <row r="2" spans="1:6" ht="14" x14ac:dyDescent="0.3">
      <c r="A2" s="3" t="s">
        <v>0</v>
      </c>
      <c r="B2" s="5" t="s">
        <v>2</v>
      </c>
      <c r="C2" s="21" t="s">
        <v>3</v>
      </c>
      <c r="D2" s="2" t="s">
        <v>4</v>
      </c>
      <c r="E2" s="12" t="s">
        <v>4</v>
      </c>
      <c r="F2" s="7" t="s">
        <v>5</v>
      </c>
    </row>
    <row r="3" spans="1:6" x14ac:dyDescent="0.3">
      <c r="C3" t="s">
        <v>8</v>
      </c>
      <c r="F3" s="8">
        <v>0</v>
      </c>
    </row>
    <row r="4" spans="1:6" s="1" customFormat="1" x14ac:dyDescent="0.3">
      <c r="A4" s="25"/>
      <c r="C4" s="1" t="s">
        <v>57</v>
      </c>
      <c r="D4" s="11"/>
      <c r="E4" s="11"/>
      <c r="F4" s="19">
        <f>F3+D4-E4</f>
        <v>0</v>
      </c>
    </row>
    <row r="5" spans="1:6" ht="16.5" customHeight="1" x14ac:dyDescent="0.25">
      <c r="A5" s="23">
        <v>45790</v>
      </c>
      <c r="B5"/>
      <c r="C5" t="s">
        <v>16</v>
      </c>
      <c r="D5" s="24">
        <v>120000000</v>
      </c>
      <c r="F5" s="8">
        <f>F4+D5-E5</f>
        <v>120000000</v>
      </c>
    </row>
    <row r="6" spans="1:6" ht="16.5" customHeight="1" x14ac:dyDescent="0.25">
      <c r="A6" s="23">
        <v>45793</v>
      </c>
      <c r="B6"/>
      <c r="C6" t="s">
        <v>15</v>
      </c>
      <c r="D6" s="24">
        <v>30000000</v>
      </c>
      <c r="F6" s="8">
        <f t="shared" ref="F6:F36" si="0">F5+D6-E6</f>
        <v>150000000</v>
      </c>
    </row>
    <row r="7" spans="1:6" ht="16.5" customHeight="1" x14ac:dyDescent="0.25">
      <c r="A7" s="23">
        <v>45794</v>
      </c>
      <c r="B7"/>
      <c r="C7" t="s">
        <v>14</v>
      </c>
      <c r="D7" s="24">
        <v>120000000</v>
      </c>
      <c r="F7" s="8">
        <f t="shared" si="0"/>
        <v>270000000</v>
      </c>
    </row>
    <row r="8" spans="1:6" ht="16.5" customHeight="1" x14ac:dyDescent="0.25">
      <c r="A8" s="23">
        <v>45794</v>
      </c>
      <c r="B8"/>
      <c r="C8" t="s">
        <v>18</v>
      </c>
      <c r="D8" s="24">
        <v>1500000</v>
      </c>
      <c r="F8" s="8">
        <f t="shared" si="0"/>
        <v>271500000</v>
      </c>
    </row>
    <row r="9" spans="1:6" ht="16.5" customHeight="1" x14ac:dyDescent="0.25">
      <c r="A9" s="23">
        <v>45796</v>
      </c>
      <c r="B9"/>
      <c r="C9" t="s">
        <v>17</v>
      </c>
      <c r="D9" s="24">
        <v>75864000</v>
      </c>
      <c r="F9" s="8">
        <f t="shared" si="0"/>
        <v>347364000</v>
      </c>
    </row>
    <row r="10" spans="1:6" ht="16.5" customHeight="1" x14ac:dyDescent="0.3">
      <c r="A10" s="23">
        <v>45797</v>
      </c>
      <c r="B10"/>
      <c r="C10" t="s">
        <v>19</v>
      </c>
      <c r="E10" s="12">
        <v>50000000</v>
      </c>
      <c r="F10" s="8">
        <f t="shared" si="0"/>
        <v>297364000</v>
      </c>
    </row>
    <row r="11" spans="1:6" ht="16.5" customHeight="1" x14ac:dyDescent="0.3">
      <c r="A11" s="23">
        <v>45791</v>
      </c>
      <c r="B11"/>
      <c r="C11" t="s">
        <v>20</v>
      </c>
      <c r="E11" s="12">
        <v>200000</v>
      </c>
      <c r="F11" s="8">
        <f t="shared" si="0"/>
        <v>297164000</v>
      </c>
    </row>
    <row r="12" spans="1:6" ht="16.5" customHeight="1" x14ac:dyDescent="0.3">
      <c r="A12" s="23">
        <v>45791</v>
      </c>
      <c r="B12"/>
      <c r="C12" t="s">
        <v>20</v>
      </c>
      <c r="E12" s="12">
        <v>200000</v>
      </c>
      <c r="F12" s="8">
        <f t="shared" si="0"/>
        <v>296964000</v>
      </c>
    </row>
    <row r="13" spans="1:6" ht="16.5" customHeight="1" x14ac:dyDescent="0.3">
      <c r="A13" s="23">
        <v>45791</v>
      </c>
      <c r="B13"/>
      <c r="C13" t="s">
        <v>21</v>
      </c>
      <c r="E13" s="12">
        <v>250000</v>
      </c>
      <c r="F13" s="8">
        <f t="shared" si="0"/>
        <v>296714000</v>
      </c>
    </row>
    <row r="14" spans="1:6" ht="16.5" customHeight="1" x14ac:dyDescent="0.3">
      <c r="A14" s="23">
        <v>45791</v>
      </c>
      <c r="B14"/>
      <c r="C14" t="s">
        <v>9</v>
      </c>
      <c r="E14" s="12">
        <v>200000</v>
      </c>
      <c r="F14" s="8">
        <f t="shared" si="0"/>
        <v>296514000</v>
      </c>
    </row>
    <row r="15" spans="1:6" ht="16.5" customHeight="1" x14ac:dyDescent="0.3">
      <c r="A15" s="23">
        <v>45791</v>
      </c>
      <c r="B15"/>
      <c r="C15" t="s">
        <v>22</v>
      </c>
      <c r="E15" s="12">
        <v>15000</v>
      </c>
      <c r="F15" s="8">
        <f t="shared" si="0"/>
        <v>296499000</v>
      </c>
    </row>
    <row r="16" spans="1:6" ht="16.5" customHeight="1" x14ac:dyDescent="0.3">
      <c r="A16" s="23">
        <v>45791</v>
      </c>
      <c r="B16"/>
      <c r="C16" t="s">
        <v>23</v>
      </c>
      <c r="E16" s="12">
        <v>50000</v>
      </c>
      <c r="F16" s="8">
        <f t="shared" si="0"/>
        <v>296449000</v>
      </c>
    </row>
    <row r="17" spans="1:6" ht="16.5" customHeight="1" x14ac:dyDescent="0.3">
      <c r="A17" s="23">
        <v>45793</v>
      </c>
      <c r="B17"/>
      <c r="C17" t="s">
        <v>11</v>
      </c>
      <c r="E17" s="12">
        <v>100000</v>
      </c>
      <c r="F17" s="8">
        <f t="shared" si="0"/>
        <v>296349000</v>
      </c>
    </row>
    <row r="18" spans="1:6" ht="16.5" customHeight="1" x14ac:dyDescent="0.3">
      <c r="A18" s="23">
        <v>45793</v>
      </c>
      <c r="B18"/>
      <c r="C18" t="s">
        <v>12</v>
      </c>
      <c r="E18" s="12">
        <v>100000</v>
      </c>
      <c r="F18" s="8">
        <f t="shared" si="0"/>
        <v>296249000</v>
      </c>
    </row>
    <row r="19" spans="1:6" ht="16.5" customHeight="1" x14ac:dyDescent="0.3">
      <c r="A19" s="23">
        <v>45793</v>
      </c>
      <c r="B19"/>
      <c r="C19" t="s">
        <v>13</v>
      </c>
      <c r="E19" s="12">
        <v>50000</v>
      </c>
      <c r="F19" s="8">
        <f t="shared" si="0"/>
        <v>296199000</v>
      </c>
    </row>
    <row r="20" spans="1:6" ht="16.5" customHeight="1" x14ac:dyDescent="0.3">
      <c r="A20" s="23">
        <v>45789</v>
      </c>
      <c r="B20"/>
      <c r="C20" t="s">
        <v>24</v>
      </c>
      <c r="E20" s="12">
        <v>1610</v>
      </c>
      <c r="F20" s="8">
        <f t="shared" si="0"/>
        <v>296197390</v>
      </c>
    </row>
    <row r="21" spans="1:6" ht="16.5" customHeight="1" x14ac:dyDescent="0.3">
      <c r="A21" s="23">
        <v>45789</v>
      </c>
      <c r="B21"/>
      <c r="C21" t="s">
        <v>25</v>
      </c>
      <c r="E21" s="12">
        <v>10000</v>
      </c>
      <c r="F21" s="8">
        <f t="shared" si="0"/>
        <v>296187390</v>
      </c>
    </row>
    <row r="22" spans="1:6" ht="16.5" customHeight="1" x14ac:dyDescent="0.3">
      <c r="A22" s="23">
        <v>45789</v>
      </c>
      <c r="B22"/>
      <c r="C22" t="s">
        <v>26</v>
      </c>
      <c r="E22" s="12">
        <v>35000</v>
      </c>
      <c r="F22" s="8">
        <f t="shared" si="0"/>
        <v>296152390</v>
      </c>
    </row>
    <row r="23" spans="1:6" ht="16.5" customHeight="1" x14ac:dyDescent="0.3">
      <c r="A23" s="23">
        <v>45789</v>
      </c>
      <c r="B23"/>
      <c r="C23" t="s">
        <v>27</v>
      </c>
      <c r="E23" s="12">
        <v>20000</v>
      </c>
      <c r="F23" s="8">
        <f t="shared" si="0"/>
        <v>296132390</v>
      </c>
    </row>
    <row r="24" spans="1:6" ht="16.5" customHeight="1" x14ac:dyDescent="0.3">
      <c r="A24" s="23">
        <v>45789</v>
      </c>
      <c r="B24"/>
      <c r="C24" t="s">
        <v>28</v>
      </c>
      <c r="E24" s="12">
        <v>8000</v>
      </c>
      <c r="F24" s="8">
        <f t="shared" si="0"/>
        <v>296124390</v>
      </c>
    </row>
    <row r="25" spans="1:6" ht="16.5" customHeight="1" x14ac:dyDescent="0.3">
      <c r="A25" s="23">
        <v>45790</v>
      </c>
      <c r="B25"/>
      <c r="C25" t="s">
        <v>27</v>
      </c>
      <c r="E25" s="12">
        <v>17000</v>
      </c>
      <c r="F25" s="8">
        <f t="shared" si="0"/>
        <v>296107390</v>
      </c>
    </row>
    <row r="26" spans="1:6" ht="16.5" customHeight="1" x14ac:dyDescent="0.3">
      <c r="A26" s="23">
        <v>45790</v>
      </c>
      <c r="B26"/>
      <c r="C26" t="s">
        <v>29</v>
      </c>
      <c r="E26" s="12">
        <v>6000</v>
      </c>
      <c r="F26" s="8">
        <f t="shared" si="0"/>
        <v>296101390</v>
      </c>
    </row>
    <row r="27" spans="1:6" ht="16.5" customHeight="1" x14ac:dyDescent="0.3">
      <c r="A27" s="23">
        <v>45790</v>
      </c>
      <c r="B27"/>
      <c r="C27" t="s">
        <v>28</v>
      </c>
      <c r="E27" s="12">
        <v>6000</v>
      </c>
      <c r="F27" s="8">
        <f t="shared" si="0"/>
        <v>296095390</v>
      </c>
    </row>
    <row r="28" spans="1:6" ht="16.5" customHeight="1" x14ac:dyDescent="0.3">
      <c r="A28" s="23">
        <v>45791</v>
      </c>
      <c r="B28"/>
      <c r="C28" t="s">
        <v>30</v>
      </c>
      <c r="E28" s="12">
        <v>16000</v>
      </c>
      <c r="F28" s="8">
        <f t="shared" si="0"/>
        <v>296079390</v>
      </c>
    </row>
    <row r="29" spans="1:6" ht="16.5" customHeight="1" x14ac:dyDescent="0.3">
      <c r="A29" s="23">
        <v>45791</v>
      </c>
      <c r="B29"/>
      <c r="C29" t="s">
        <v>31</v>
      </c>
      <c r="E29" s="12">
        <v>6000</v>
      </c>
      <c r="F29" s="8">
        <f t="shared" si="0"/>
        <v>296073390</v>
      </c>
    </row>
    <row r="30" spans="1:6" ht="16.5" customHeight="1" x14ac:dyDescent="0.3">
      <c r="A30" s="23">
        <v>45792</v>
      </c>
      <c r="B30"/>
      <c r="C30" t="s">
        <v>27</v>
      </c>
      <c r="E30" s="12">
        <v>13000</v>
      </c>
      <c r="F30" s="8">
        <f t="shared" si="0"/>
        <v>296060390</v>
      </c>
    </row>
    <row r="31" spans="1:6" ht="16.5" customHeight="1" x14ac:dyDescent="0.3">
      <c r="A31" s="23">
        <v>45793</v>
      </c>
      <c r="B31"/>
      <c r="C31" t="s">
        <v>32</v>
      </c>
      <c r="E31" s="12">
        <v>31000</v>
      </c>
      <c r="F31" s="8">
        <f t="shared" si="0"/>
        <v>296029390</v>
      </c>
    </row>
    <row r="32" spans="1:6" ht="16.5" customHeight="1" x14ac:dyDescent="0.3">
      <c r="A32" s="23">
        <v>45793</v>
      </c>
      <c r="B32"/>
      <c r="C32" t="s">
        <v>33</v>
      </c>
      <c r="E32" s="12">
        <v>3000</v>
      </c>
      <c r="F32" s="8">
        <f t="shared" si="0"/>
        <v>296026390</v>
      </c>
    </row>
    <row r="33" spans="1:6" ht="16.5" customHeight="1" x14ac:dyDescent="0.3">
      <c r="A33" s="23">
        <v>45793</v>
      </c>
      <c r="B33"/>
      <c r="C33" t="s">
        <v>34</v>
      </c>
      <c r="E33" s="12">
        <v>13000</v>
      </c>
      <c r="F33" s="8">
        <f t="shared" si="0"/>
        <v>296013390</v>
      </c>
    </row>
    <row r="34" spans="1:6" ht="16.5" customHeight="1" x14ac:dyDescent="0.3">
      <c r="A34" s="23">
        <v>45793</v>
      </c>
      <c r="B34"/>
      <c r="C34" t="s">
        <v>35</v>
      </c>
      <c r="E34" s="12">
        <v>7000</v>
      </c>
      <c r="F34" s="8">
        <f t="shared" si="0"/>
        <v>296006390</v>
      </c>
    </row>
    <row r="35" spans="1:6" ht="16.5" customHeight="1" x14ac:dyDescent="0.3">
      <c r="A35" s="23">
        <v>45793</v>
      </c>
      <c r="B35"/>
      <c r="C35" t="s">
        <v>36</v>
      </c>
      <c r="E35" s="12">
        <v>30000</v>
      </c>
      <c r="F35" s="8">
        <f t="shared" si="0"/>
        <v>295976390</v>
      </c>
    </row>
    <row r="36" spans="1:6" ht="16.5" customHeight="1" x14ac:dyDescent="0.3">
      <c r="A36" s="23">
        <v>45794</v>
      </c>
      <c r="B36"/>
      <c r="C36" t="s">
        <v>37</v>
      </c>
      <c r="E36" s="12">
        <v>25000</v>
      </c>
      <c r="F36" s="8">
        <f t="shared" si="0"/>
        <v>295951390</v>
      </c>
    </row>
    <row r="37" spans="1:6" ht="16.5" customHeight="1" x14ac:dyDescent="0.3">
      <c r="A37" s="23">
        <v>45794</v>
      </c>
      <c r="B37"/>
      <c r="C37" t="s">
        <v>38</v>
      </c>
      <c r="E37" s="12">
        <v>4000</v>
      </c>
      <c r="F37" s="8">
        <f t="shared" ref="F37:F42" si="1">F36+D37-E37</f>
        <v>295947390</v>
      </c>
    </row>
    <row r="38" spans="1:6" ht="16.5" customHeight="1" x14ac:dyDescent="0.3">
      <c r="A38" s="23">
        <v>45794</v>
      </c>
      <c r="B38"/>
      <c r="C38" t="s">
        <v>10</v>
      </c>
      <c r="E38" s="12">
        <v>15000</v>
      </c>
      <c r="F38" s="8">
        <f t="shared" si="1"/>
        <v>295932390</v>
      </c>
    </row>
    <row r="39" spans="1:6" ht="16.5" customHeight="1" x14ac:dyDescent="0.3">
      <c r="A39" s="23">
        <v>45795</v>
      </c>
      <c r="B39"/>
      <c r="C39" t="s">
        <v>39</v>
      </c>
      <c r="E39" s="12">
        <v>8000</v>
      </c>
      <c r="F39" s="8">
        <f t="shared" si="1"/>
        <v>295924390</v>
      </c>
    </row>
    <row r="40" spans="1:6" ht="16.5" customHeight="1" x14ac:dyDescent="0.3">
      <c r="A40" s="23">
        <v>45795</v>
      </c>
      <c r="B40"/>
      <c r="C40" t="s">
        <v>38</v>
      </c>
      <c r="E40" s="12">
        <v>3000</v>
      </c>
      <c r="F40" s="8">
        <f t="shared" si="1"/>
        <v>295921390</v>
      </c>
    </row>
    <row r="41" spans="1:6" ht="16.5" customHeight="1" x14ac:dyDescent="0.3">
      <c r="A41" s="23">
        <v>45795</v>
      </c>
      <c r="B41"/>
      <c r="C41" t="s">
        <v>10</v>
      </c>
      <c r="E41" s="12">
        <v>5000</v>
      </c>
      <c r="F41" s="8">
        <f t="shared" si="1"/>
        <v>295916390</v>
      </c>
    </row>
    <row r="42" spans="1:6" ht="16.5" customHeight="1" x14ac:dyDescent="0.3">
      <c r="A42" s="23">
        <v>45795</v>
      </c>
      <c r="B42"/>
      <c r="C42" t="s">
        <v>40</v>
      </c>
      <c r="E42" s="12">
        <v>5000</v>
      </c>
      <c r="F42" s="8">
        <f t="shared" si="1"/>
        <v>295911390</v>
      </c>
    </row>
    <row r="43" spans="1:6" ht="16.5" customHeight="1" x14ac:dyDescent="0.3">
      <c r="A43" s="23">
        <v>45796</v>
      </c>
      <c r="B43"/>
      <c r="C43" t="s">
        <v>41</v>
      </c>
      <c r="E43" s="12">
        <v>1600000</v>
      </c>
      <c r="F43" s="8">
        <f t="shared" ref="F43:F89" si="2">F42+D43-E43</f>
        <v>294311390</v>
      </c>
    </row>
    <row r="44" spans="1:6" ht="16.5" customHeight="1" x14ac:dyDescent="0.3">
      <c r="A44" s="23">
        <v>45796</v>
      </c>
      <c r="B44"/>
      <c r="C44" t="s">
        <v>10</v>
      </c>
      <c r="D44" s="16"/>
      <c r="E44" s="17">
        <v>10000</v>
      </c>
      <c r="F44" s="8">
        <f t="shared" si="2"/>
        <v>294301390</v>
      </c>
    </row>
    <row r="45" spans="1:6" ht="16.5" customHeight="1" x14ac:dyDescent="0.3">
      <c r="A45" s="23">
        <v>45796</v>
      </c>
      <c r="B45"/>
      <c r="C45" t="s">
        <v>42</v>
      </c>
      <c r="E45" s="12">
        <v>5000</v>
      </c>
      <c r="F45" s="8">
        <f t="shared" si="2"/>
        <v>294296390</v>
      </c>
    </row>
    <row r="46" spans="1:6" ht="16.5" customHeight="1" x14ac:dyDescent="0.3">
      <c r="A46" s="23">
        <v>45796</v>
      </c>
      <c r="B46"/>
      <c r="C46" t="s">
        <v>43</v>
      </c>
      <c r="D46" s="16"/>
      <c r="E46" s="17">
        <v>155000</v>
      </c>
      <c r="F46" s="8">
        <f t="shared" si="2"/>
        <v>294141390</v>
      </c>
    </row>
    <row r="47" spans="1:6" ht="16.5" customHeight="1" x14ac:dyDescent="0.3">
      <c r="A47" s="23">
        <v>45796</v>
      </c>
      <c r="B47"/>
      <c r="C47" t="s">
        <v>44</v>
      </c>
      <c r="E47" s="12">
        <v>20000</v>
      </c>
      <c r="F47" s="8">
        <f t="shared" si="2"/>
        <v>294121390</v>
      </c>
    </row>
    <row r="48" spans="1:6" ht="16.5" customHeight="1" x14ac:dyDescent="0.3">
      <c r="A48" s="23">
        <v>45796</v>
      </c>
      <c r="B48"/>
      <c r="C48" t="s">
        <v>45</v>
      </c>
      <c r="E48" s="12">
        <v>70000</v>
      </c>
      <c r="F48" s="8">
        <f t="shared" si="2"/>
        <v>294051390</v>
      </c>
    </row>
    <row r="49" spans="1:6" ht="16.5" customHeight="1" x14ac:dyDescent="0.3">
      <c r="A49" s="23">
        <v>45795</v>
      </c>
      <c r="B49"/>
      <c r="C49" t="s">
        <v>46</v>
      </c>
      <c r="E49" s="12">
        <v>750000</v>
      </c>
      <c r="F49" s="8">
        <f t="shared" si="2"/>
        <v>293301390</v>
      </c>
    </row>
    <row r="50" spans="1:6" ht="16.5" customHeight="1" x14ac:dyDescent="0.3">
      <c r="A50" s="23">
        <v>45795</v>
      </c>
      <c r="B50"/>
      <c r="C50" t="s">
        <v>47</v>
      </c>
      <c r="E50" s="12">
        <v>65000</v>
      </c>
      <c r="F50" s="8">
        <f t="shared" si="2"/>
        <v>293236390</v>
      </c>
    </row>
    <row r="51" spans="1:6" ht="16.5" customHeight="1" x14ac:dyDescent="0.3">
      <c r="A51" s="23">
        <v>45795</v>
      </c>
      <c r="B51"/>
      <c r="C51" t="s">
        <v>48</v>
      </c>
      <c r="E51" s="12">
        <v>20000</v>
      </c>
      <c r="F51" s="8">
        <f t="shared" si="2"/>
        <v>293216390</v>
      </c>
    </row>
    <row r="52" spans="1:6" ht="16.5" customHeight="1" x14ac:dyDescent="0.3">
      <c r="A52" s="23">
        <v>45795</v>
      </c>
      <c r="B52"/>
      <c r="C52" t="s">
        <v>49</v>
      </c>
      <c r="E52" s="12">
        <v>350000</v>
      </c>
      <c r="F52" s="8">
        <f t="shared" si="2"/>
        <v>292866390</v>
      </c>
    </row>
    <row r="53" spans="1:6" ht="16.5" customHeight="1" x14ac:dyDescent="0.3">
      <c r="A53" s="23">
        <v>45795</v>
      </c>
      <c r="B53"/>
      <c r="C53" t="s">
        <v>50</v>
      </c>
      <c r="E53" s="12">
        <f>350000+120000</f>
        <v>470000</v>
      </c>
      <c r="F53" s="8">
        <f t="shared" si="2"/>
        <v>292396390</v>
      </c>
    </row>
    <row r="54" spans="1:6" ht="16.5" customHeight="1" x14ac:dyDescent="0.3">
      <c r="A54" s="23">
        <v>45795</v>
      </c>
      <c r="B54"/>
      <c r="C54" t="s">
        <v>51</v>
      </c>
      <c r="E54" s="12">
        <v>200000</v>
      </c>
      <c r="F54" s="8">
        <f t="shared" si="2"/>
        <v>292196390</v>
      </c>
    </row>
    <row r="55" spans="1:6" ht="16.5" customHeight="1" x14ac:dyDescent="0.3">
      <c r="A55" s="23">
        <v>45795</v>
      </c>
      <c r="B55"/>
      <c r="C55" t="s">
        <v>52</v>
      </c>
      <c r="E55" s="12">
        <v>45000</v>
      </c>
      <c r="F55" s="8">
        <f t="shared" si="2"/>
        <v>292151390</v>
      </c>
    </row>
    <row r="56" spans="1:6" ht="16.5" customHeight="1" x14ac:dyDescent="0.3">
      <c r="A56" s="23">
        <v>45795</v>
      </c>
      <c r="B56"/>
      <c r="C56" t="s">
        <v>53</v>
      </c>
      <c r="E56" s="12">
        <v>54000</v>
      </c>
      <c r="F56" s="8">
        <f t="shared" si="2"/>
        <v>292097390</v>
      </c>
    </row>
    <row r="57" spans="1:6" ht="16.5" customHeight="1" x14ac:dyDescent="0.3">
      <c r="A57" s="23">
        <v>45795</v>
      </c>
      <c r="B57"/>
      <c r="C57" t="s">
        <v>54</v>
      </c>
      <c r="E57" s="12">
        <v>91000</v>
      </c>
      <c r="F57" s="8">
        <f t="shared" si="2"/>
        <v>292006390</v>
      </c>
    </row>
    <row r="58" spans="1:6" ht="16.5" customHeight="1" x14ac:dyDescent="0.3">
      <c r="A58" s="23">
        <v>45795</v>
      </c>
      <c r="B58"/>
      <c r="C58" t="s">
        <v>55</v>
      </c>
      <c r="E58" s="12">
        <v>135000</v>
      </c>
      <c r="F58" s="8">
        <f t="shared" si="2"/>
        <v>291871390</v>
      </c>
    </row>
    <row r="59" spans="1:6" ht="16.5" customHeight="1" x14ac:dyDescent="0.3">
      <c r="A59" s="23">
        <v>45795</v>
      </c>
      <c r="B59"/>
      <c r="C59" t="s">
        <v>58</v>
      </c>
      <c r="E59" s="12">
        <f>8180*12000</f>
        <v>98160000</v>
      </c>
      <c r="F59" s="8">
        <f t="shared" si="2"/>
        <v>193711390</v>
      </c>
    </row>
    <row r="60" spans="1:6" ht="16.5" customHeight="1" x14ac:dyDescent="0.3">
      <c r="A60" s="23">
        <v>45794</v>
      </c>
      <c r="B60"/>
      <c r="C60" t="s">
        <v>56</v>
      </c>
      <c r="E60" s="12">
        <f>16366*12000</f>
        <v>196392000</v>
      </c>
      <c r="F60" s="8">
        <f t="shared" si="2"/>
        <v>-2680610</v>
      </c>
    </row>
    <row r="61" spans="1:6" ht="16.5" customHeight="1" x14ac:dyDescent="0.3">
      <c r="A61" s="23">
        <v>45798</v>
      </c>
      <c r="B61"/>
      <c r="C61" t="s">
        <v>59</v>
      </c>
      <c r="D61" s="11">
        <v>1860000</v>
      </c>
      <c r="F61" s="8">
        <f t="shared" si="2"/>
        <v>-820610</v>
      </c>
    </row>
    <row r="62" spans="1:6" s="1" customFormat="1" ht="16.5" customHeight="1" x14ac:dyDescent="0.3">
      <c r="A62" s="25"/>
      <c r="C62" s="1" t="s">
        <v>63</v>
      </c>
      <c r="D62" s="11"/>
      <c r="E62" s="11"/>
      <c r="F62" s="19">
        <f t="shared" si="2"/>
        <v>-820610</v>
      </c>
    </row>
    <row r="63" spans="1:6" ht="16.5" customHeight="1" x14ac:dyDescent="0.3">
      <c r="A63" s="23">
        <v>45797</v>
      </c>
      <c r="B63"/>
      <c r="C63" t="s">
        <v>60</v>
      </c>
      <c r="D63" s="11">
        <v>28095800</v>
      </c>
      <c r="F63" s="8">
        <f t="shared" si="2"/>
        <v>27275190</v>
      </c>
    </row>
    <row r="64" spans="1:6" ht="16.5" customHeight="1" x14ac:dyDescent="0.3">
      <c r="A64" s="23">
        <v>45797</v>
      </c>
      <c r="B64"/>
      <c r="C64" t="s">
        <v>60</v>
      </c>
      <c r="D64" s="11">
        <v>21688400</v>
      </c>
      <c r="F64" s="8">
        <f t="shared" si="2"/>
        <v>48963590</v>
      </c>
    </row>
    <row r="65" spans="1:7" ht="16.5" customHeight="1" x14ac:dyDescent="0.3">
      <c r="A65" s="23">
        <v>45797</v>
      </c>
      <c r="B65"/>
      <c r="C65" t="s">
        <v>61</v>
      </c>
      <c r="E65" s="12">
        <v>28095800</v>
      </c>
      <c r="F65" s="8">
        <f t="shared" si="2"/>
        <v>20867790</v>
      </c>
    </row>
    <row r="66" spans="1:7" ht="16.5" customHeight="1" x14ac:dyDescent="0.3">
      <c r="A66" s="23">
        <v>45797</v>
      </c>
      <c r="B66"/>
      <c r="C66" t="s">
        <v>64</v>
      </c>
      <c r="E66" s="12">
        <v>21688400</v>
      </c>
      <c r="F66" s="8">
        <f t="shared" si="2"/>
        <v>-820610</v>
      </c>
    </row>
    <row r="67" spans="1:7" ht="16.5" customHeight="1" x14ac:dyDescent="0.3">
      <c r="A67" s="23">
        <v>45798</v>
      </c>
      <c r="B67"/>
      <c r="C67" t="s">
        <v>62</v>
      </c>
      <c r="E67" s="12">
        <v>100000</v>
      </c>
      <c r="F67" s="8">
        <f t="shared" si="2"/>
        <v>-920610</v>
      </c>
    </row>
    <row r="68" spans="1:7" ht="16.5" customHeight="1" x14ac:dyDescent="0.3">
      <c r="A68" s="23">
        <v>45798</v>
      </c>
      <c r="B68"/>
      <c r="C68" t="s">
        <v>60</v>
      </c>
      <c r="D68" s="11">
        <v>26000000</v>
      </c>
      <c r="F68" s="8">
        <f t="shared" si="2"/>
        <v>25079390</v>
      </c>
    </row>
    <row r="69" spans="1:7" ht="16.5" customHeight="1" x14ac:dyDescent="0.3">
      <c r="A69" s="23">
        <v>45798</v>
      </c>
      <c r="B69"/>
      <c r="C69" t="s">
        <v>75</v>
      </c>
      <c r="E69" s="12">
        <v>27505800</v>
      </c>
      <c r="F69" s="8">
        <f t="shared" si="2"/>
        <v>-2426410</v>
      </c>
    </row>
    <row r="70" spans="1:7" ht="16.5" customHeight="1" x14ac:dyDescent="0.3">
      <c r="A70" s="23">
        <v>45799</v>
      </c>
      <c r="B70"/>
      <c r="C70" t="s">
        <v>60</v>
      </c>
      <c r="D70" s="11">
        <v>20001000</v>
      </c>
      <c r="F70" s="8">
        <f t="shared" si="2"/>
        <v>17574590</v>
      </c>
    </row>
    <row r="71" spans="1:7" ht="16.5" customHeight="1" x14ac:dyDescent="0.3">
      <c r="A71" s="23">
        <v>45799</v>
      </c>
      <c r="B71"/>
      <c r="C71" t="s">
        <v>77</v>
      </c>
      <c r="E71" s="12">
        <v>20001000</v>
      </c>
      <c r="F71" s="8">
        <f t="shared" si="2"/>
        <v>-2426410</v>
      </c>
    </row>
    <row r="72" spans="1:7" ht="16.5" customHeight="1" x14ac:dyDescent="0.3">
      <c r="A72" s="23">
        <v>45799</v>
      </c>
      <c r="B72"/>
      <c r="C72" t="s">
        <v>78</v>
      </c>
      <c r="D72" s="11">
        <v>1505800</v>
      </c>
      <c r="F72" s="8">
        <f t="shared" si="2"/>
        <v>-920610</v>
      </c>
    </row>
    <row r="73" spans="1:7" ht="16.5" customHeight="1" x14ac:dyDescent="0.3">
      <c r="A73" s="23">
        <v>45799</v>
      </c>
      <c r="B73"/>
      <c r="C73" t="s">
        <v>79</v>
      </c>
      <c r="D73" s="11">
        <v>100000</v>
      </c>
      <c r="F73" s="8">
        <f t="shared" si="2"/>
        <v>-820610</v>
      </c>
    </row>
    <row r="74" spans="1:7" ht="16.5" customHeight="1" x14ac:dyDescent="0.3">
      <c r="A74" s="23">
        <v>45799</v>
      </c>
      <c r="B74"/>
      <c r="C74" t="s">
        <v>80</v>
      </c>
      <c r="E74" s="12">
        <v>100000</v>
      </c>
      <c r="F74" s="8">
        <f t="shared" si="2"/>
        <v>-920610</v>
      </c>
    </row>
    <row r="75" spans="1:7" ht="16.5" customHeight="1" x14ac:dyDescent="0.3">
      <c r="A75" s="23">
        <v>45799</v>
      </c>
      <c r="B75"/>
      <c r="C75" t="s">
        <v>81</v>
      </c>
      <c r="D75" s="11">
        <v>965500</v>
      </c>
      <c r="F75" s="8">
        <f t="shared" si="2"/>
        <v>44890</v>
      </c>
    </row>
    <row r="76" spans="1:7" ht="16.5" customHeight="1" x14ac:dyDescent="0.3">
      <c r="A76" s="23">
        <v>45799</v>
      </c>
      <c r="B76"/>
      <c r="C76" t="s">
        <v>82</v>
      </c>
      <c r="E76" s="12">
        <v>800000</v>
      </c>
      <c r="F76" s="8">
        <f t="shared" si="2"/>
        <v>-755110</v>
      </c>
      <c r="G76" s="15"/>
    </row>
    <row r="77" spans="1:7" ht="16.5" customHeight="1" x14ac:dyDescent="0.3">
      <c r="A77" s="23">
        <v>45799</v>
      </c>
      <c r="B77"/>
      <c r="C77" t="s">
        <v>83</v>
      </c>
      <c r="E77" s="12">
        <v>155500</v>
      </c>
      <c r="F77" s="8">
        <f t="shared" si="2"/>
        <v>-910610</v>
      </c>
    </row>
    <row r="78" spans="1:7" ht="16.5" customHeight="1" x14ac:dyDescent="0.3">
      <c r="A78" s="23">
        <v>45799</v>
      </c>
      <c r="B78"/>
      <c r="C78" t="s">
        <v>84</v>
      </c>
      <c r="E78" s="12">
        <v>10000</v>
      </c>
      <c r="F78" s="8">
        <f t="shared" si="2"/>
        <v>-920610</v>
      </c>
    </row>
    <row r="79" spans="1:7" ht="16.5" customHeight="1" x14ac:dyDescent="0.3">
      <c r="A79" s="23"/>
      <c r="B79"/>
      <c r="F79" s="8">
        <f t="shared" si="2"/>
        <v>-920610</v>
      </c>
    </row>
    <row r="80" spans="1:7" ht="16.5" customHeight="1" x14ac:dyDescent="0.3">
      <c r="A80" s="23"/>
      <c r="B80"/>
      <c r="F80" s="8">
        <f t="shared" si="2"/>
        <v>-920610</v>
      </c>
    </row>
    <row r="81" spans="1:6" ht="16.5" customHeight="1" x14ac:dyDescent="0.3">
      <c r="A81" s="23"/>
      <c r="B81"/>
      <c r="C81" t="s">
        <v>86</v>
      </c>
      <c r="D81" s="11">
        <v>303029200</v>
      </c>
      <c r="F81" s="8">
        <f t="shared" si="2"/>
        <v>302108590</v>
      </c>
    </row>
    <row r="82" spans="1:6" ht="16.5" customHeight="1" x14ac:dyDescent="0.3">
      <c r="A82" s="23"/>
      <c r="B82"/>
      <c r="C82" t="s">
        <v>87</v>
      </c>
      <c r="D82" s="16">
        <v>93978986.400000006</v>
      </c>
      <c r="E82" s="17"/>
      <c r="F82" s="8">
        <f t="shared" si="2"/>
        <v>396087576.39999998</v>
      </c>
    </row>
    <row r="83" spans="1:6" ht="16.5" customHeight="1" x14ac:dyDescent="0.3">
      <c r="A83" s="23"/>
      <c r="B83"/>
      <c r="D83" s="16">
        <f>SUM(D81:D82)</f>
        <v>397008186.39999998</v>
      </c>
      <c r="E83" s="17">
        <f>SUM(E11:E78)</f>
        <v>398501110</v>
      </c>
      <c r="F83" s="8">
        <f t="shared" si="2"/>
        <v>394594652.79999995</v>
      </c>
    </row>
    <row r="84" spans="1:6" ht="16.5" customHeight="1" x14ac:dyDescent="0.3">
      <c r="A84" s="23"/>
      <c r="B84"/>
      <c r="F84" s="8">
        <f t="shared" si="2"/>
        <v>394594652.79999995</v>
      </c>
    </row>
    <row r="85" spans="1:6" ht="16.5" customHeight="1" x14ac:dyDescent="0.3">
      <c r="A85" s="23"/>
      <c r="B85"/>
      <c r="D85" s="11">
        <f>D83-E83</f>
        <v>-1492923.6000000238</v>
      </c>
      <c r="F85" s="8">
        <f t="shared" si="2"/>
        <v>393101729.19999993</v>
      </c>
    </row>
    <row r="86" spans="1:6" ht="16.5" customHeight="1" x14ac:dyDescent="0.3">
      <c r="A86" s="23"/>
      <c r="B86"/>
      <c r="C86" s="15"/>
      <c r="F86" s="8">
        <f t="shared" si="2"/>
        <v>393101729.19999993</v>
      </c>
    </row>
    <row r="87" spans="1:6" ht="16.5" customHeight="1" x14ac:dyDescent="0.3">
      <c r="A87" s="23"/>
      <c r="B87"/>
      <c r="C87" t="s">
        <v>88</v>
      </c>
      <c r="D87" s="11">
        <f>SUM(E11:E60)</f>
        <v>300044610</v>
      </c>
      <c r="F87" s="8">
        <f t="shared" si="2"/>
        <v>693146339.19999993</v>
      </c>
    </row>
    <row r="88" spans="1:6" ht="16.5" customHeight="1" x14ac:dyDescent="0.3">
      <c r="A88" s="23"/>
      <c r="B88"/>
      <c r="D88" s="31">
        <f>D81-D87</f>
        <v>2984590</v>
      </c>
      <c r="F88" s="8">
        <f t="shared" si="2"/>
        <v>696130929.19999993</v>
      </c>
    </row>
    <row r="89" spans="1:6" ht="16.5" customHeight="1" x14ac:dyDescent="0.3">
      <c r="A89" s="23"/>
      <c r="B89"/>
      <c r="C89" t="s">
        <v>89</v>
      </c>
      <c r="D89" s="11">
        <f>SUM(E65:E78)</f>
        <v>98456500</v>
      </c>
      <c r="F89" s="8">
        <f t="shared" si="2"/>
        <v>794587429.19999993</v>
      </c>
    </row>
    <row r="90" spans="1:6" ht="16.5" customHeight="1" x14ac:dyDescent="0.3">
      <c r="A90" s="23"/>
      <c r="B90"/>
      <c r="D90" s="30">
        <f>D82-D89</f>
        <v>-4477513.599999994</v>
      </c>
      <c r="F90" s="8">
        <f t="shared" ref="F90:F130" si="3">F89+D90-E90</f>
        <v>790109915.5999999</v>
      </c>
    </row>
    <row r="91" spans="1:6" ht="16.5" customHeight="1" x14ac:dyDescent="0.3">
      <c r="A91" s="23"/>
      <c r="B91"/>
      <c r="F91" s="8">
        <f t="shared" si="3"/>
        <v>790109915.5999999</v>
      </c>
    </row>
    <row r="92" spans="1:6" ht="16.5" customHeight="1" x14ac:dyDescent="0.3">
      <c r="A92" s="23"/>
      <c r="B92"/>
      <c r="F92" s="8">
        <f t="shared" si="3"/>
        <v>790109915.5999999</v>
      </c>
    </row>
    <row r="93" spans="1:6" ht="16.5" customHeight="1" x14ac:dyDescent="0.3">
      <c r="A93" s="23"/>
      <c r="B93"/>
      <c r="F93" s="8">
        <f t="shared" si="3"/>
        <v>790109915.5999999</v>
      </c>
    </row>
    <row r="94" spans="1:6" ht="16.5" customHeight="1" x14ac:dyDescent="0.3">
      <c r="A94" s="23"/>
      <c r="B94"/>
      <c r="F94" s="8">
        <f t="shared" si="3"/>
        <v>790109915.5999999</v>
      </c>
    </row>
    <row r="95" spans="1:6" ht="16.5" customHeight="1" x14ac:dyDescent="0.3">
      <c r="A95" s="23"/>
      <c r="B95"/>
      <c r="F95" s="8">
        <f t="shared" si="3"/>
        <v>790109915.5999999</v>
      </c>
    </row>
    <row r="96" spans="1:6" ht="16.5" customHeight="1" x14ac:dyDescent="0.3">
      <c r="A96" s="23"/>
      <c r="B96"/>
      <c r="F96" s="8">
        <f t="shared" si="3"/>
        <v>790109915.5999999</v>
      </c>
    </row>
    <row r="97" spans="1:6" ht="16.5" customHeight="1" x14ac:dyDescent="0.3">
      <c r="A97" s="23"/>
      <c r="B97"/>
      <c r="F97" s="8">
        <f t="shared" si="3"/>
        <v>790109915.5999999</v>
      </c>
    </row>
    <row r="98" spans="1:6" ht="16.5" customHeight="1" x14ac:dyDescent="0.3">
      <c r="A98" s="23"/>
      <c r="B98"/>
      <c r="F98" s="8">
        <f t="shared" si="3"/>
        <v>790109915.5999999</v>
      </c>
    </row>
    <row r="99" spans="1:6" ht="16.5" customHeight="1" x14ac:dyDescent="0.3">
      <c r="A99" s="23"/>
      <c r="B99"/>
      <c r="F99" s="8">
        <f t="shared" si="3"/>
        <v>790109915.5999999</v>
      </c>
    </row>
    <row r="100" spans="1:6" ht="16.5" customHeight="1" x14ac:dyDescent="0.3">
      <c r="A100" s="23"/>
      <c r="B100"/>
      <c r="F100" s="8">
        <f t="shared" si="3"/>
        <v>790109915.5999999</v>
      </c>
    </row>
    <row r="101" spans="1:6" ht="16.5" customHeight="1" x14ac:dyDescent="0.3">
      <c r="A101" s="23"/>
      <c r="B101"/>
      <c r="F101" s="8">
        <f t="shared" si="3"/>
        <v>790109915.5999999</v>
      </c>
    </row>
    <row r="102" spans="1:6" ht="16.5" customHeight="1" x14ac:dyDescent="0.3">
      <c r="A102" s="23"/>
      <c r="B102"/>
      <c r="F102" s="8">
        <f t="shared" si="3"/>
        <v>790109915.5999999</v>
      </c>
    </row>
    <row r="103" spans="1:6" ht="16.5" customHeight="1" x14ac:dyDescent="0.3">
      <c r="A103" s="23"/>
      <c r="B103"/>
      <c r="F103" s="8">
        <f t="shared" si="3"/>
        <v>790109915.5999999</v>
      </c>
    </row>
    <row r="104" spans="1:6" ht="16.5" customHeight="1" x14ac:dyDescent="0.3">
      <c r="A104" s="23"/>
      <c r="B104"/>
      <c r="F104" s="8">
        <f t="shared" si="3"/>
        <v>790109915.5999999</v>
      </c>
    </row>
    <row r="105" spans="1:6" ht="16.5" customHeight="1" x14ac:dyDescent="0.3">
      <c r="A105" s="23"/>
      <c r="B105"/>
      <c r="F105" s="8">
        <f t="shared" si="3"/>
        <v>790109915.5999999</v>
      </c>
    </row>
    <row r="106" spans="1:6" ht="16.5" customHeight="1" x14ac:dyDescent="0.3">
      <c r="A106" s="23"/>
      <c r="B106"/>
      <c r="F106" s="8">
        <f t="shared" si="3"/>
        <v>790109915.5999999</v>
      </c>
    </row>
    <row r="107" spans="1:6" ht="16.5" customHeight="1" x14ac:dyDescent="0.3">
      <c r="A107" s="23"/>
      <c r="B107"/>
      <c r="F107" s="8">
        <f t="shared" si="3"/>
        <v>790109915.5999999</v>
      </c>
    </row>
    <row r="108" spans="1:6" ht="16.5" customHeight="1" x14ac:dyDescent="0.3">
      <c r="A108" s="23"/>
      <c r="B108"/>
      <c r="F108" s="8">
        <f t="shared" si="3"/>
        <v>790109915.5999999</v>
      </c>
    </row>
    <row r="109" spans="1:6" ht="16.5" customHeight="1" x14ac:dyDescent="0.3">
      <c r="A109" s="23"/>
      <c r="B109"/>
      <c r="F109" s="8">
        <f t="shared" si="3"/>
        <v>790109915.5999999</v>
      </c>
    </row>
    <row r="110" spans="1:6" ht="16.5" customHeight="1" x14ac:dyDescent="0.3">
      <c r="A110" s="23"/>
      <c r="B110"/>
      <c r="F110" s="8">
        <f t="shared" si="3"/>
        <v>790109915.5999999</v>
      </c>
    </row>
    <row r="111" spans="1:6" ht="16.5" customHeight="1" x14ac:dyDescent="0.3">
      <c r="A111" s="23"/>
      <c r="B111"/>
      <c r="F111" s="8">
        <f t="shared" si="3"/>
        <v>790109915.5999999</v>
      </c>
    </row>
    <row r="112" spans="1:6" ht="16.5" customHeight="1" x14ac:dyDescent="0.3">
      <c r="A112" s="23"/>
      <c r="B112"/>
      <c r="F112" s="8">
        <f t="shared" si="3"/>
        <v>790109915.5999999</v>
      </c>
    </row>
    <row r="113" spans="1:6" ht="16.5" customHeight="1" x14ac:dyDescent="0.3">
      <c r="A113" s="23"/>
      <c r="B113"/>
      <c r="F113" s="8">
        <f t="shared" si="3"/>
        <v>790109915.5999999</v>
      </c>
    </row>
    <row r="114" spans="1:6" ht="16.5" customHeight="1" x14ac:dyDescent="0.3">
      <c r="A114" s="23"/>
      <c r="B114"/>
      <c r="F114" s="8">
        <f t="shared" si="3"/>
        <v>790109915.5999999</v>
      </c>
    </row>
    <row r="115" spans="1:6" ht="16.5" customHeight="1" x14ac:dyDescent="0.3">
      <c r="A115" s="23"/>
      <c r="B115"/>
      <c r="F115" s="8">
        <f t="shared" si="3"/>
        <v>790109915.5999999</v>
      </c>
    </row>
    <row r="116" spans="1:6" ht="16.5" customHeight="1" x14ac:dyDescent="0.3">
      <c r="A116" s="23"/>
      <c r="B116"/>
      <c r="F116" s="8">
        <f t="shared" si="3"/>
        <v>790109915.5999999</v>
      </c>
    </row>
    <row r="117" spans="1:6" ht="16.5" customHeight="1" x14ac:dyDescent="0.3">
      <c r="A117" s="23"/>
      <c r="B117"/>
      <c r="F117" s="8">
        <f t="shared" si="3"/>
        <v>790109915.5999999</v>
      </c>
    </row>
    <row r="118" spans="1:6" ht="16.5" customHeight="1" x14ac:dyDescent="0.3">
      <c r="A118" s="23"/>
      <c r="B118"/>
      <c r="F118" s="8">
        <f t="shared" si="3"/>
        <v>790109915.5999999</v>
      </c>
    </row>
    <row r="119" spans="1:6" ht="16.5" customHeight="1" x14ac:dyDescent="0.3">
      <c r="A119" s="23"/>
      <c r="B119"/>
      <c r="F119" s="8">
        <f t="shared" si="3"/>
        <v>790109915.5999999</v>
      </c>
    </row>
    <row r="120" spans="1:6" ht="16.5" customHeight="1" x14ac:dyDescent="0.3">
      <c r="A120" s="23"/>
      <c r="B120"/>
      <c r="F120" s="8">
        <f t="shared" si="3"/>
        <v>790109915.5999999</v>
      </c>
    </row>
    <row r="121" spans="1:6" ht="16.5" customHeight="1" x14ac:dyDescent="0.3">
      <c r="A121" s="23"/>
      <c r="B121"/>
      <c r="F121" s="8">
        <f t="shared" si="3"/>
        <v>790109915.5999999</v>
      </c>
    </row>
    <row r="122" spans="1:6" ht="16.5" customHeight="1" x14ac:dyDescent="0.3">
      <c r="A122" s="23"/>
      <c r="B122"/>
      <c r="F122" s="8">
        <f t="shared" si="3"/>
        <v>790109915.5999999</v>
      </c>
    </row>
    <row r="123" spans="1:6" ht="16.5" customHeight="1" x14ac:dyDescent="0.3">
      <c r="A123" s="23"/>
      <c r="B123"/>
      <c r="F123" s="8">
        <f t="shared" si="3"/>
        <v>790109915.5999999</v>
      </c>
    </row>
    <row r="124" spans="1:6" ht="16.5" customHeight="1" x14ac:dyDescent="0.3">
      <c r="A124" s="23"/>
      <c r="B124"/>
      <c r="F124" s="8">
        <f t="shared" si="3"/>
        <v>790109915.5999999</v>
      </c>
    </row>
    <row r="125" spans="1:6" ht="16.5" customHeight="1" x14ac:dyDescent="0.3">
      <c r="A125" s="23"/>
      <c r="B125"/>
      <c r="F125" s="8">
        <f t="shared" si="3"/>
        <v>790109915.5999999</v>
      </c>
    </row>
    <row r="126" spans="1:6" ht="16.5" customHeight="1" x14ac:dyDescent="0.3">
      <c r="A126" s="23"/>
      <c r="B126"/>
      <c r="F126" s="8">
        <f t="shared" si="3"/>
        <v>790109915.5999999</v>
      </c>
    </row>
    <row r="127" spans="1:6" ht="16.5" customHeight="1" x14ac:dyDescent="0.3">
      <c r="A127" s="23"/>
      <c r="B127"/>
      <c r="F127" s="8">
        <f t="shared" si="3"/>
        <v>790109915.5999999</v>
      </c>
    </row>
    <row r="128" spans="1:6" ht="16.5" customHeight="1" x14ac:dyDescent="0.3">
      <c r="A128" s="23"/>
      <c r="B128"/>
      <c r="F128" s="8">
        <f t="shared" si="3"/>
        <v>790109915.5999999</v>
      </c>
    </row>
    <row r="129" spans="1:6" ht="16.5" customHeight="1" x14ac:dyDescent="0.3">
      <c r="A129" s="23"/>
      <c r="B129"/>
      <c r="F129" s="8">
        <f t="shared" si="3"/>
        <v>790109915.5999999</v>
      </c>
    </row>
    <row r="130" spans="1:6" ht="16.5" customHeight="1" x14ac:dyDescent="0.3">
      <c r="A130" s="23"/>
      <c r="B130"/>
      <c r="F130" s="8">
        <f t="shared" si="3"/>
        <v>790109915.5999999</v>
      </c>
    </row>
    <row r="131" spans="1:6" ht="16.5" customHeight="1" x14ac:dyDescent="0.3">
      <c r="A131" s="23"/>
      <c r="B131"/>
      <c r="F131" s="18"/>
    </row>
    <row r="132" spans="1:6" ht="16.5" customHeight="1" x14ac:dyDescent="0.3">
      <c r="A132" s="23"/>
      <c r="B132"/>
      <c r="F132" s="18"/>
    </row>
    <row r="133" spans="1:6" ht="16.5" customHeight="1" x14ac:dyDescent="0.3">
      <c r="A133" s="23"/>
      <c r="B133"/>
      <c r="F133" s="18"/>
    </row>
    <row r="134" spans="1:6" ht="16.5" customHeight="1" x14ac:dyDescent="0.3">
      <c r="A134" s="23"/>
      <c r="B134"/>
      <c r="F134" s="18"/>
    </row>
    <row r="135" spans="1:6" ht="16.5" customHeight="1" x14ac:dyDescent="0.3">
      <c r="A135" s="23"/>
      <c r="B135"/>
      <c r="F135" s="18"/>
    </row>
    <row r="136" spans="1:6" ht="16.5" customHeight="1" x14ac:dyDescent="0.3">
      <c r="A136" s="23"/>
      <c r="B136"/>
      <c r="F136" s="18"/>
    </row>
    <row r="137" spans="1:6" ht="16.5" customHeight="1" x14ac:dyDescent="0.3">
      <c r="A137" s="23"/>
      <c r="B137"/>
      <c r="F137" s="18"/>
    </row>
    <row r="138" spans="1:6" ht="16.5" customHeight="1" x14ac:dyDescent="0.3">
      <c r="A138" s="23"/>
      <c r="B138"/>
      <c r="F138" s="18"/>
    </row>
    <row r="139" spans="1:6" ht="16.5" customHeight="1" x14ac:dyDescent="0.3">
      <c r="A139" s="23"/>
      <c r="B139"/>
      <c r="F139" s="18"/>
    </row>
    <row r="140" spans="1:6" ht="16.5" customHeight="1" x14ac:dyDescent="0.3">
      <c r="A140" s="23"/>
      <c r="B140"/>
      <c r="F140" s="18"/>
    </row>
    <row r="141" spans="1:6" ht="16.5" customHeight="1" x14ac:dyDescent="0.3">
      <c r="A141" s="23"/>
      <c r="B141"/>
      <c r="F141" s="18"/>
    </row>
    <row r="142" spans="1:6" ht="16.5" customHeight="1" x14ac:dyDescent="0.3">
      <c r="A142" s="23"/>
      <c r="B142"/>
      <c r="F142" s="18"/>
    </row>
    <row r="143" spans="1:6" ht="16.5" customHeight="1" x14ac:dyDescent="0.3">
      <c r="A143" s="23"/>
      <c r="B143"/>
      <c r="F143" s="18"/>
    </row>
    <row r="144" spans="1:6" ht="16.5" customHeight="1" x14ac:dyDescent="0.3">
      <c r="A144" s="23"/>
      <c r="B144"/>
      <c r="F144" s="18"/>
    </row>
    <row r="145" spans="1:6" ht="16.5" customHeight="1" x14ac:dyDescent="0.3">
      <c r="A145" s="23"/>
      <c r="B145"/>
      <c r="F145" s="18"/>
    </row>
    <row r="146" spans="1:6" ht="16.5" customHeight="1" x14ac:dyDescent="0.3">
      <c r="A146" s="23"/>
      <c r="B146"/>
      <c r="F146" s="18"/>
    </row>
    <row r="147" spans="1:6" ht="16.5" customHeight="1" x14ac:dyDescent="0.3">
      <c r="A147" s="23"/>
      <c r="B147"/>
      <c r="F147" s="18"/>
    </row>
    <row r="148" spans="1:6" ht="16.5" customHeight="1" x14ac:dyDescent="0.3">
      <c r="A148" s="23"/>
      <c r="B148"/>
      <c r="F148" s="18"/>
    </row>
    <row r="149" spans="1:6" ht="16.5" customHeight="1" x14ac:dyDescent="0.3">
      <c r="A149" s="23"/>
      <c r="B149"/>
      <c r="F149" s="18"/>
    </row>
    <row r="150" spans="1:6" ht="16.5" customHeight="1" x14ac:dyDescent="0.3">
      <c r="A150" s="23"/>
      <c r="B150"/>
      <c r="F150" s="18"/>
    </row>
    <row r="151" spans="1:6" ht="16.5" customHeight="1" x14ac:dyDescent="0.3">
      <c r="A151" s="23"/>
      <c r="B151"/>
      <c r="F151" s="18"/>
    </row>
    <row r="152" spans="1:6" ht="16.5" customHeight="1" x14ac:dyDescent="0.3">
      <c r="A152" s="23"/>
      <c r="B152"/>
      <c r="F152" s="18"/>
    </row>
    <row r="153" spans="1:6" ht="16.5" customHeight="1" x14ac:dyDescent="0.3">
      <c r="A153" s="23"/>
      <c r="B153"/>
      <c r="F153" s="18"/>
    </row>
    <row r="154" spans="1:6" ht="16.5" customHeight="1" x14ac:dyDescent="0.3">
      <c r="A154" s="23"/>
      <c r="B154"/>
      <c r="F154" s="18"/>
    </row>
    <row r="155" spans="1:6" ht="16.5" customHeight="1" x14ac:dyDescent="0.3">
      <c r="A155" s="23"/>
      <c r="B155"/>
      <c r="F155" s="18"/>
    </row>
    <row r="156" spans="1:6" ht="16.5" customHeight="1" x14ac:dyDescent="0.3">
      <c r="A156" s="23"/>
      <c r="B156"/>
      <c r="F156" s="18"/>
    </row>
    <row r="157" spans="1:6" ht="16.5" customHeight="1" x14ac:dyDescent="0.3">
      <c r="A157" s="23"/>
      <c r="B157"/>
      <c r="F157" s="18"/>
    </row>
    <row r="158" spans="1:6" ht="16.5" customHeight="1" x14ac:dyDescent="0.3">
      <c r="A158" s="23"/>
      <c r="B158"/>
      <c r="F158" s="18"/>
    </row>
    <row r="159" spans="1:6" ht="16.5" customHeight="1" x14ac:dyDescent="0.3">
      <c r="A159" s="23"/>
      <c r="B159"/>
      <c r="F159" s="19"/>
    </row>
    <row r="160" spans="1:6" ht="16.5" customHeight="1" x14ac:dyDescent="0.3">
      <c r="A160" s="23"/>
      <c r="B160"/>
      <c r="F160" s="18"/>
    </row>
    <row r="161" spans="1:6" ht="16.5" customHeight="1" x14ac:dyDescent="0.3">
      <c r="A161" s="23"/>
      <c r="B161"/>
      <c r="F161" s="18"/>
    </row>
    <row r="162" spans="1:6" ht="16.5" customHeight="1" x14ac:dyDescent="0.3">
      <c r="A162" s="23"/>
      <c r="B162"/>
      <c r="F162" s="18"/>
    </row>
    <row r="163" spans="1:6" ht="16.5" customHeight="1" x14ac:dyDescent="0.3">
      <c r="A163" s="23"/>
      <c r="B163"/>
      <c r="F163" s="18"/>
    </row>
    <row r="164" spans="1:6" ht="16.5" customHeight="1" x14ac:dyDescent="0.3">
      <c r="A164" s="23"/>
      <c r="B164"/>
      <c r="F164" s="18"/>
    </row>
    <row r="165" spans="1:6" ht="16.5" customHeight="1" x14ac:dyDescent="0.3">
      <c r="A165" s="23"/>
      <c r="B165"/>
      <c r="F165" s="18"/>
    </row>
    <row r="166" spans="1:6" ht="16.5" customHeight="1" x14ac:dyDescent="0.3">
      <c r="A166" s="23"/>
      <c r="B166"/>
      <c r="F166" s="18"/>
    </row>
    <row r="167" spans="1:6" ht="16.5" customHeight="1" x14ac:dyDescent="0.3">
      <c r="A167" s="23"/>
      <c r="B167"/>
      <c r="F167" s="18"/>
    </row>
    <row r="168" spans="1:6" ht="16.5" customHeight="1" x14ac:dyDescent="0.3">
      <c r="A168" s="23"/>
      <c r="B168"/>
      <c r="F168" s="18"/>
    </row>
    <row r="169" spans="1:6" ht="16.5" customHeight="1" x14ac:dyDescent="0.3">
      <c r="A169" s="23"/>
      <c r="B169"/>
      <c r="F169" s="18"/>
    </row>
    <row r="170" spans="1:6" ht="16.5" customHeight="1" x14ac:dyDescent="0.3">
      <c r="A170" s="23"/>
      <c r="B170"/>
      <c r="F170" s="18"/>
    </row>
    <row r="171" spans="1:6" ht="16.5" customHeight="1" x14ac:dyDescent="0.3">
      <c r="A171" s="23"/>
      <c r="B171"/>
      <c r="F171" s="18"/>
    </row>
    <row r="172" spans="1:6" ht="16.5" customHeight="1" x14ac:dyDescent="0.3">
      <c r="A172" s="23"/>
      <c r="B172"/>
      <c r="F172" s="18"/>
    </row>
    <row r="173" spans="1:6" ht="16.5" customHeight="1" x14ac:dyDescent="0.3">
      <c r="A173" s="23"/>
      <c r="B173"/>
      <c r="F173" s="18"/>
    </row>
    <row r="174" spans="1:6" ht="16.5" customHeight="1" x14ac:dyDescent="0.3">
      <c r="A174" s="23"/>
      <c r="B174"/>
      <c r="F174" s="18"/>
    </row>
    <row r="175" spans="1:6" ht="16.5" customHeight="1" x14ac:dyDescent="0.3">
      <c r="A175" s="23"/>
      <c r="B175"/>
      <c r="F175" s="18"/>
    </row>
    <row r="176" spans="1:6" ht="16.5" customHeight="1" x14ac:dyDescent="0.3">
      <c r="A176" s="23"/>
      <c r="B176"/>
      <c r="F176" s="18"/>
    </row>
    <row r="177" spans="1:6" ht="16.5" customHeight="1" x14ac:dyDescent="0.3">
      <c r="A177" s="23"/>
      <c r="B177"/>
      <c r="F177" s="18"/>
    </row>
    <row r="178" spans="1:6" ht="16.5" customHeight="1" x14ac:dyDescent="0.3">
      <c r="A178" s="23"/>
      <c r="B178"/>
      <c r="F178" s="18"/>
    </row>
    <row r="179" spans="1:6" ht="16.5" customHeight="1" x14ac:dyDescent="0.3">
      <c r="A179" s="23"/>
      <c r="B179"/>
      <c r="F179" s="18"/>
    </row>
    <row r="180" spans="1:6" ht="16.5" customHeight="1" x14ac:dyDescent="0.3">
      <c r="A180" s="23"/>
      <c r="B180"/>
      <c r="F180" s="18"/>
    </row>
    <row r="181" spans="1:6" ht="16.5" customHeight="1" x14ac:dyDescent="0.3">
      <c r="A181" s="23"/>
      <c r="B181"/>
      <c r="F181" s="18"/>
    </row>
    <row r="182" spans="1:6" ht="16.5" customHeight="1" x14ac:dyDescent="0.3">
      <c r="A182" s="23"/>
      <c r="B182"/>
      <c r="F182" s="18"/>
    </row>
    <row r="183" spans="1:6" ht="16.5" customHeight="1" x14ac:dyDescent="0.3">
      <c r="A183" s="23"/>
      <c r="B183"/>
      <c r="F183" s="18"/>
    </row>
    <row r="184" spans="1:6" ht="16.5" customHeight="1" x14ac:dyDescent="0.3">
      <c r="A184" s="23"/>
      <c r="B184"/>
      <c r="F184" s="18"/>
    </row>
    <row r="185" spans="1:6" ht="16.5" customHeight="1" x14ac:dyDescent="0.3">
      <c r="A185" s="23"/>
      <c r="B185"/>
      <c r="F185" s="18"/>
    </row>
    <row r="186" spans="1:6" ht="16.5" customHeight="1" x14ac:dyDescent="0.3">
      <c r="A186" s="23"/>
      <c r="B186"/>
      <c r="F186" s="18"/>
    </row>
    <row r="187" spans="1:6" ht="16.5" customHeight="1" x14ac:dyDescent="0.3">
      <c r="A187" s="23"/>
      <c r="B187"/>
      <c r="F187" s="18"/>
    </row>
    <row r="188" spans="1:6" ht="16.5" customHeight="1" x14ac:dyDescent="0.3">
      <c r="A188" s="23"/>
      <c r="B188"/>
      <c r="F188" s="18"/>
    </row>
    <row r="189" spans="1:6" ht="16.5" customHeight="1" x14ac:dyDescent="0.3">
      <c r="A189" s="23"/>
      <c r="B189"/>
      <c r="F189" s="18"/>
    </row>
    <row r="190" spans="1:6" ht="16.5" customHeight="1" x14ac:dyDescent="0.3">
      <c r="A190" s="23"/>
      <c r="B190"/>
      <c r="F190" s="18"/>
    </row>
    <row r="191" spans="1:6" ht="16.5" customHeight="1" x14ac:dyDescent="0.3">
      <c r="A191" s="23"/>
      <c r="B191"/>
      <c r="F191" s="18"/>
    </row>
    <row r="192" spans="1:6" ht="16.5" customHeight="1" x14ac:dyDescent="0.3">
      <c r="A192" s="23"/>
      <c r="B192"/>
      <c r="F192" s="18"/>
    </row>
    <row r="193" spans="1:6" ht="16.5" customHeight="1" x14ac:dyDescent="0.3">
      <c r="A193" s="23"/>
      <c r="B193"/>
      <c r="F193" s="18"/>
    </row>
    <row r="194" spans="1:6" ht="16.5" customHeight="1" x14ac:dyDescent="0.3">
      <c r="A194" s="23"/>
      <c r="B194"/>
      <c r="F194" s="18"/>
    </row>
    <row r="195" spans="1:6" ht="16.5" customHeight="1" x14ac:dyDescent="0.3">
      <c r="A195" s="23"/>
      <c r="B195"/>
      <c r="F195" s="18"/>
    </row>
    <row r="196" spans="1:6" ht="16.5" customHeight="1" x14ac:dyDescent="0.3">
      <c r="A196" s="23"/>
      <c r="B196"/>
      <c r="F196" s="18"/>
    </row>
    <row r="197" spans="1:6" ht="16.5" customHeight="1" x14ac:dyDescent="0.3">
      <c r="A197" s="23"/>
      <c r="B197"/>
      <c r="F197" s="18"/>
    </row>
    <row r="198" spans="1:6" ht="16.5" customHeight="1" x14ac:dyDescent="0.3">
      <c r="A198" s="23"/>
      <c r="B198"/>
      <c r="F198" s="18"/>
    </row>
    <row r="199" spans="1:6" ht="16.5" customHeight="1" x14ac:dyDescent="0.3">
      <c r="A199" s="23"/>
      <c r="B199"/>
      <c r="F199" s="18"/>
    </row>
    <row r="200" spans="1:6" ht="16.5" customHeight="1" x14ac:dyDescent="0.3">
      <c r="A200" s="23"/>
      <c r="B200"/>
      <c r="F200" s="18"/>
    </row>
    <row r="201" spans="1:6" ht="16.5" customHeight="1" x14ac:dyDescent="0.3">
      <c r="A201" s="23"/>
      <c r="B201"/>
      <c r="F201" s="18"/>
    </row>
    <row r="202" spans="1:6" ht="16.5" customHeight="1" x14ac:dyDescent="0.3">
      <c r="A202" s="23"/>
      <c r="B202"/>
      <c r="F202" s="18"/>
    </row>
    <row r="203" spans="1:6" ht="16.5" customHeight="1" x14ac:dyDescent="0.3">
      <c r="A203" s="23"/>
      <c r="B203"/>
      <c r="F203" s="18"/>
    </row>
    <row r="204" spans="1:6" ht="16.5" customHeight="1" x14ac:dyDescent="0.3">
      <c r="A204" s="23"/>
      <c r="B204"/>
      <c r="F204" s="18"/>
    </row>
    <row r="205" spans="1:6" ht="16.5" customHeight="1" x14ac:dyDescent="0.3">
      <c r="A205" s="23"/>
      <c r="B205"/>
      <c r="F205" s="18"/>
    </row>
    <row r="206" spans="1:6" ht="16.5" customHeight="1" x14ac:dyDescent="0.3">
      <c r="A206" s="23"/>
      <c r="B206"/>
      <c r="F206" s="18"/>
    </row>
    <row r="207" spans="1:6" ht="16.5" customHeight="1" x14ac:dyDescent="0.3">
      <c r="A207" s="23"/>
      <c r="B207"/>
      <c r="F207" s="18"/>
    </row>
    <row r="208" spans="1:6" ht="16.5" customHeight="1" x14ac:dyDescent="0.3">
      <c r="A208" s="23"/>
      <c r="B208"/>
      <c r="F208" s="18"/>
    </row>
    <row r="209" spans="1:6" ht="16.5" customHeight="1" x14ac:dyDescent="0.3">
      <c r="A209" s="23"/>
      <c r="B209"/>
      <c r="F209" s="18"/>
    </row>
    <row r="210" spans="1:6" ht="16.5" customHeight="1" x14ac:dyDescent="0.3">
      <c r="A210" s="23"/>
      <c r="B210"/>
      <c r="F210" s="18"/>
    </row>
    <row r="211" spans="1:6" ht="16.5" customHeight="1" x14ac:dyDescent="0.3">
      <c r="A211" s="23"/>
      <c r="B211"/>
      <c r="F211" s="18"/>
    </row>
    <row r="212" spans="1:6" ht="16.5" customHeight="1" x14ac:dyDescent="0.3">
      <c r="A212" s="23"/>
      <c r="B212"/>
      <c r="F212" s="18"/>
    </row>
    <row r="213" spans="1:6" ht="16.5" customHeight="1" x14ac:dyDescent="0.3">
      <c r="A213" s="23"/>
      <c r="B213"/>
      <c r="F213" s="18"/>
    </row>
    <row r="214" spans="1:6" ht="16.5" customHeight="1" x14ac:dyDescent="0.3">
      <c r="A214" s="23"/>
      <c r="B214"/>
      <c r="F214" s="18"/>
    </row>
    <row r="215" spans="1:6" ht="16.5" customHeight="1" x14ac:dyDescent="0.3">
      <c r="A215" s="23"/>
      <c r="B215"/>
      <c r="F215" s="18"/>
    </row>
    <row r="216" spans="1:6" ht="16.5" customHeight="1" x14ac:dyDescent="0.3">
      <c r="A216" s="23"/>
      <c r="B216"/>
      <c r="F216" s="18"/>
    </row>
    <row r="217" spans="1:6" ht="16.5" customHeight="1" x14ac:dyDescent="0.3">
      <c r="A217" s="23"/>
      <c r="B217"/>
      <c r="F217" s="18"/>
    </row>
    <row r="218" spans="1:6" ht="16.5" customHeight="1" x14ac:dyDescent="0.3">
      <c r="A218" s="23"/>
      <c r="B218"/>
      <c r="F218" s="18"/>
    </row>
    <row r="219" spans="1:6" ht="16.5" customHeight="1" x14ac:dyDescent="0.3">
      <c r="A219" s="23"/>
      <c r="B219"/>
      <c r="F219" s="18"/>
    </row>
    <row r="220" spans="1:6" ht="16.5" customHeight="1" x14ac:dyDescent="0.3">
      <c r="A220" s="23"/>
      <c r="B220"/>
      <c r="F220" s="18"/>
    </row>
    <row r="221" spans="1:6" ht="16.5" customHeight="1" x14ac:dyDescent="0.3">
      <c r="A221" s="23"/>
      <c r="B221"/>
      <c r="F221" s="18"/>
    </row>
    <row r="222" spans="1:6" ht="16.5" customHeight="1" x14ac:dyDescent="0.3">
      <c r="A222" s="23"/>
      <c r="B222"/>
      <c r="F222" s="18"/>
    </row>
    <row r="223" spans="1:6" ht="16.5" customHeight="1" x14ac:dyDescent="0.3">
      <c r="A223" s="23"/>
      <c r="B223"/>
      <c r="F223" s="18"/>
    </row>
    <row r="224" spans="1:6" ht="16.5" customHeight="1" x14ac:dyDescent="0.3">
      <c r="A224" s="23"/>
      <c r="B224"/>
      <c r="F224" s="18"/>
    </row>
    <row r="225" spans="1:6" ht="16.5" customHeight="1" x14ac:dyDescent="0.3">
      <c r="A225" s="23"/>
      <c r="B225"/>
      <c r="F225" s="18"/>
    </row>
    <row r="226" spans="1:6" ht="16.5" customHeight="1" x14ac:dyDescent="0.3">
      <c r="A226" s="23"/>
      <c r="B226"/>
      <c r="F226" s="18"/>
    </row>
    <row r="227" spans="1:6" ht="16.5" customHeight="1" x14ac:dyDescent="0.3">
      <c r="A227" s="23"/>
      <c r="B227"/>
      <c r="F227" s="18"/>
    </row>
    <row r="228" spans="1:6" ht="16.5" customHeight="1" x14ac:dyDescent="0.3">
      <c r="A228" s="23"/>
      <c r="B228"/>
      <c r="F228" s="18"/>
    </row>
    <row r="229" spans="1:6" ht="16.5" customHeight="1" x14ac:dyDescent="0.3">
      <c r="A229" s="23"/>
      <c r="B229"/>
      <c r="F229" s="18"/>
    </row>
    <row r="230" spans="1:6" ht="16.5" customHeight="1" x14ac:dyDescent="0.3">
      <c r="A230" s="23"/>
      <c r="B230"/>
      <c r="F230" s="18"/>
    </row>
    <row r="231" spans="1:6" ht="16.5" customHeight="1" x14ac:dyDescent="0.3">
      <c r="A231" s="23"/>
      <c r="B231"/>
      <c r="F231" s="18"/>
    </row>
    <row r="232" spans="1:6" ht="16.5" customHeight="1" x14ac:dyDescent="0.3">
      <c r="A232" s="23"/>
      <c r="B232"/>
      <c r="F232" s="18"/>
    </row>
    <row r="233" spans="1:6" ht="16.5" customHeight="1" x14ac:dyDescent="0.3">
      <c r="A233" s="23"/>
      <c r="B233"/>
      <c r="F233" s="18"/>
    </row>
    <row r="234" spans="1:6" ht="16.5" customHeight="1" x14ac:dyDescent="0.3">
      <c r="A234" s="23"/>
      <c r="B234"/>
      <c r="F234" s="18"/>
    </row>
    <row r="235" spans="1:6" ht="16.5" customHeight="1" x14ac:dyDescent="0.3">
      <c r="A235" s="23"/>
      <c r="B235"/>
      <c r="F235" s="18"/>
    </row>
    <row r="236" spans="1:6" ht="16.5" customHeight="1" x14ac:dyDescent="0.3">
      <c r="A236" s="23"/>
      <c r="B236"/>
      <c r="F236" s="18"/>
    </row>
    <row r="237" spans="1:6" ht="16.5" customHeight="1" x14ac:dyDescent="0.3">
      <c r="A237" s="23"/>
      <c r="B237"/>
      <c r="F237" s="18"/>
    </row>
    <row r="238" spans="1:6" ht="16.5" customHeight="1" x14ac:dyDescent="0.3">
      <c r="A238" s="23"/>
      <c r="B238"/>
      <c r="F238" s="18"/>
    </row>
    <row r="239" spans="1:6" ht="16.5" customHeight="1" x14ac:dyDescent="0.3">
      <c r="A239" s="23"/>
      <c r="B239"/>
      <c r="F239" s="18"/>
    </row>
    <row r="240" spans="1:6" ht="16.5" customHeight="1" x14ac:dyDescent="0.3">
      <c r="A240" s="23"/>
      <c r="B240"/>
      <c r="F240" s="18"/>
    </row>
    <row r="241" spans="1:6" ht="16.5" customHeight="1" x14ac:dyDescent="0.3">
      <c r="A241" s="23"/>
      <c r="B241"/>
      <c r="F241" s="18"/>
    </row>
    <row r="242" spans="1:6" ht="16.5" customHeight="1" x14ac:dyDescent="0.3">
      <c r="A242" s="23"/>
      <c r="B242"/>
      <c r="F242" s="18"/>
    </row>
    <row r="243" spans="1:6" ht="16.5" customHeight="1" x14ac:dyDescent="0.3">
      <c r="A243" s="23"/>
      <c r="B243"/>
      <c r="F243" s="18"/>
    </row>
    <row r="244" spans="1:6" ht="16.5" customHeight="1" x14ac:dyDescent="0.3">
      <c r="A244" s="23"/>
      <c r="B244"/>
      <c r="F244" s="18"/>
    </row>
    <row r="245" spans="1:6" ht="16.5" customHeight="1" x14ac:dyDescent="0.3">
      <c r="A245" s="23"/>
      <c r="B245"/>
      <c r="F245" s="18"/>
    </row>
    <row r="246" spans="1:6" ht="23.5" customHeight="1" x14ac:dyDescent="0.3">
      <c r="A246" s="23"/>
      <c r="B246"/>
      <c r="C246" s="20"/>
      <c r="F246" s="18"/>
    </row>
    <row r="247" spans="1:6" ht="25.9" customHeight="1" x14ac:dyDescent="0.3">
      <c r="A247" s="23"/>
      <c r="B247"/>
      <c r="C247" s="20"/>
      <c r="F247" s="18"/>
    </row>
    <row r="248" spans="1:6" ht="16.5" customHeight="1" x14ac:dyDescent="0.3">
      <c r="A248" s="23"/>
      <c r="B248"/>
      <c r="C248" s="20"/>
      <c r="F248" s="18"/>
    </row>
    <row r="249" spans="1:6" ht="16.5" customHeight="1" x14ac:dyDescent="0.3">
      <c r="A249" s="23"/>
      <c r="B249"/>
      <c r="C249" s="20"/>
      <c r="F249" s="18"/>
    </row>
    <row r="250" spans="1:6" ht="16.5" customHeight="1" x14ac:dyDescent="0.3">
      <c r="A250" s="23"/>
      <c r="B250"/>
      <c r="C250" s="20"/>
      <c r="F250" s="18"/>
    </row>
    <row r="251" spans="1:6" ht="16.5" customHeight="1" x14ac:dyDescent="0.3">
      <c r="A251" s="23"/>
      <c r="B251"/>
      <c r="F251" s="18"/>
    </row>
    <row r="252" spans="1:6" ht="16.5" customHeight="1" x14ac:dyDescent="0.3">
      <c r="A252" s="23"/>
      <c r="B252"/>
      <c r="F252" s="18"/>
    </row>
    <row r="253" spans="1:6" ht="16.5" customHeight="1" x14ac:dyDescent="0.3">
      <c r="A253" s="23"/>
      <c r="B253"/>
      <c r="F253" s="18"/>
    </row>
    <row r="254" spans="1:6" ht="16.5" customHeight="1" x14ac:dyDescent="0.3">
      <c r="A254" s="23"/>
      <c r="B254"/>
      <c r="F254" s="18"/>
    </row>
    <row r="255" spans="1:6" ht="16.5" customHeight="1" x14ac:dyDescent="0.3">
      <c r="A255" s="23"/>
      <c r="B255"/>
      <c r="F255" s="18"/>
    </row>
    <row r="256" spans="1:6" ht="16.5" customHeight="1" x14ac:dyDescent="0.3">
      <c r="A256" s="23"/>
      <c r="B256"/>
      <c r="F256" s="18"/>
    </row>
    <row r="257" spans="1:6" ht="16.5" customHeight="1" x14ac:dyDescent="0.3">
      <c r="A257" s="23"/>
      <c r="B257"/>
      <c r="F257" s="18"/>
    </row>
    <row r="258" spans="1:6" ht="16.5" customHeight="1" x14ac:dyDescent="0.3">
      <c r="A258" s="23"/>
      <c r="B258"/>
      <c r="F258" s="18"/>
    </row>
    <row r="259" spans="1:6" ht="16.5" customHeight="1" x14ac:dyDescent="0.3">
      <c r="A259" s="23"/>
      <c r="B259"/>
      <c r="F259" s="18"/>
    </row>
    <row r="260" spans="1:6" ht="16.5" customHeight="1" x14ac:dyDescent="0.3">
      <c r="A260" s="23"/>
      <c r="B260"/>
      <c r="F260" s="18"/>
    </row>
    <row r="261" spans="1:6" ht="16.5" customHeight="1" x14ac:dyDescent="0.3">
      <c r="A261" s="23"/>
      <c r="B261"/>
      <c r="F261" s="18"/>
    </row>
    <row r="262" spans="1:6" ht="16.5" customHeight="1" x14ac:dyDescent="0.3">
      <c r="A262" s="23"/>
      <c r="B262"/>
      <c r="F262" s="18"/>
    </row>
    <row r="263" spans="1:6" ht="16.5" customHeight="1" x14ac:dyDescent="0.3">
      <c r="A263" s="23"/>
      <c r="B263"/>
      <c r="F263" s="18"/>
    </row>
    <row r="264" spans="1:6" ht="16.5" customHeight="1" x14ac:dyDescent="0.3">
      <c r="A264" s="23"/>
      <c r="B264"/>
      <c r="F264" s="18"/>
    </row>
    <row r="265" spans="1:6" ht="16.5" customHeight="1" x14ac:dyDescent="0.3">
      <c r="A265" s="23"/>
      <c r="B265"/>
      <c r="F265" s="18"/>
    </row>
    <row r="266" spans="1:6" ht="16.5" customHeight="1" x14ac:dyDescent="0.3">
      <c r="A266" s="23"/>
      <c r="B266"/>
      <c r="F266" s="18"/>
    </row>
    <row r="267" spans="1:6" ht="16.5" customHeight="1" x14ac:dyDescent="0.3">
      <c r="A267" s="23"/>
      <c r="B267"/>
      <c r="F267" s="18"/>
    </row>
    <row r="268" spans="1:6" ht="16.5" customHeight="1" x14ac:dyDescent="0.3">
      <c r="A268" s="23"/>
      <c r="B268"/>
      <c r="F268" s="18"/>
    </row>
    <row r="269" spans="1:6" ht="16.5" customHeight="1" x14ac:dyDescent="0.3">
      <c r="A269" s="23"/>
      <c r="B269"/>
      <c r="F269" s="18"/>
    </row>
    <row r="270" spans="1:6" ht="16.5" customHeight="1" x14ac:dyDescent="0.3">
      <c r="A270" s="23"/>
      <c r="B270"/>
      <c r="F270" s="18"/>
    </row>
    <row r="271" spans="1:6" ht="16.5" customHeight="1" x14ac:dyDescent="0.3">
      <c r="A271" s="23"/>
      <c r="B271"/>
      <c r="F271" s="18"/>
    </row>
    <row r="272" spans="1:6" ht="16.5" customHeight="1" x14ac:dyDescent="0.3">
      <c r="A272" s="23"/>
      <c r="B272"/>
      <c r="F272" s="18"/>
    </row>
    <row r="273" spans="1:6" ht="16.5" customHeight="1" x14ac:dyDescent="0.3">
      <c r="A273" s="23"/>
      <c r="B273"/>
      <c r="F273" s="18"/>
    </row>
    <row r="274" spans="1:6" ht="16.5" customHeight="1" x14ac:dyDescent="0.3">
      <c r="A274" s="23"/>
      <c r="B274"/>
      <c r="F274" s="18"/>
    </row>
    <row r="275" spans="1:6" ht="16.5" customHeight="1" x14ac:dyDescent="0.3">
      <c r="A275" s="23"/>
      <c r="B275"/>
      <c r="F275" s="18"/>
    </row>
    <row r="276" spans="1:6" ht="16.5" customHeight="1" x14ac:dyDescent="0.3">
      <c r="A276" s="23"/>
      <c r="B276"/>
      <c r="F276" s="18"/>
    </row>
    <row r="277" spans="1:6" ht="16.5" customHeight="1" x14ac:dyDescent="0.3">
      <c r="A277" s="23"/>
      <c r="B277"/>
      <c r="F277" s="18"/>
    </row>
    <row r="278" spans="1:6" ht="16.5" customHeight="1" x14ac:dyDescent="0.3">
      <c r="A278" s="23"/>
      <c r="B278"/>
      <c r="F278" s="18"/>
    </row>
    <row r="279" spans="1:6" ht="16.5" customHeight="1" x14ac:dyDescent="0.3">
      <c r="A279" s="23"/>
      <c r="B279"/>
      <c r="F279" s="18"/>
    </row>
    <row r="280" spans="1:6" ht="16.5" customHeight="1" x14ac:dyDescent="0.3">
      <c r="A280" s="23"/>
      <c r="B280"/>
      <c r="F280" s="18"/>
    </row>
    <row r="281" spans="1:6" ht="16.5" customHeight="1" x14ac:dyDescent="0.3">
      <c r="A281" s="23"/>
      <c r="B281"/>
      <c r="F281" s="18"/>
    </row>
    <row r="282" spans="1:6" ht="16.5" customHeight="1" x14ac:dyDescent="0.3">
      <c r="A282" s="23"/>
      <c r="B282"/>
      <c r="F282" s="18"/>
    </row>
    <row r="283" spans="1:6" ht="16.5" customHeight="1" x14ac:dyDescent="0.3">
      <c r="A283" s="23"/>
      <c r="B283"/>
      <c r="F283" s="18"/>
    </row>
    <row r="284" spans="1:6" ht="16.5" customHeight="1" x14ac:dyDescent="0.3">
      <c r="A284" s="23"/>
      <c r="B284"/>
      <c r="F284" s="18"/>
    </row>
    <row r="285" spans="1:6" ht="16.5" customHeight="1" x14ac:dyDescent="0.3">
      <c r="A285" s="23"/>
      <c r="B285"/>
      <c r="F285" s="18"/>
    </row>
    <row r="286" spans="1:6" ht="16.5" customHeight="1" x14ac:dyDescent="0.3">
      <c r="A286" s="23"/>
      <c r="B286"/>
      <c r="F286" s="18"/>
    </row>
    <row r="287" spans="1:6" ht="16.5" customHeight="1" x14ac:dyDescent="0.3">
      <c r="A287" s="23"/>
      <c r="B287"/>
      <c r="F287" s="18"/>
    </row>
    <row r="288" spans="1:6" ht="16.5" customHeight="1" x14ac:dyDescent="0.3">
      <c r="A288" s="23"/>
      <c r="B288"/>
      <c r="F288" s="18"/>
    </row>
    <row r="289" spans="1:6" ht="16.5" customHeight="1" x14ac:dyDescent="0.3">
      <c r="A289" s="23"/>
      <c r="B289"/>
      <c r="F289" s="18"/>
    </row>
    <row r="290" spans="1:6" ht="16.5" customHeight="1" x14ac:dyDescent="0.3">
      <c r="A290" s="23"/>
      <c r="B290"/>
      <c r="F290" s="18"/>
    </row>
    <row r="291" spans="1:6" ht="16.5" customHeight="1" x14ac:dyDescent="0.3">
      <c r="A291" s="23"/>
      <c r="B291"/>
      <c r="F291" s="18"/>
    </row>
    <row r="292" spans="1:6" ht="16.5" customHeight="1" x14ac:dyDescent="0.3">
      <c r="A292" s="23"/>
      <c r="B292"/>
      <c r="F292" s="18"/>
    </row>
    <row r="293" spans="1:6" ht="16.5" customHeight="1" x14ac:dyDescent="0.3">
      <c r="A293" s="23"/>
      <c r="B293"/>
      <c r="F293" s="18"/>
    </row>
    <row r="294" spans="1:6" ht="16.5" customHeight="1" x14ac:dyDescent="0.3">
      <c r="A294" s="23"/>
      <c r="B294"/>
      <c r="F294" s="18"/>
    </row>
    <row r="295" spans="1:6" ht="16.5" customHeight="1" x14ac:dyDescent="0.3">
      <c r="A295" s="23"/>
      <c r="B295"/>
      <c r="F295" s="18"/>
    </row>
    <row r="296" spans="1:6" ht="16.5" customHeight="1" x14ac:dyDescent="0.3">
      <c r="A296" s="23"/>
      <c r="B296"/>
      <c r="F296" s="18"/>
    </row>
    <row r="297" spans="1:6" ht="16.5" customHeight="1" x14ac:dyDescent="0.3">
      <c r="A297" s="23"/>
      <c r="B297"/>
      <c r="F297" s="18"/>
    </row>
    <row r="298" spans="1:6" ht="16.5" customHeight="1" x14ac:dyDescent="0.3">
      <c r="A298" s="23"/>
      <c r="B298"/>
      <c r="F298" s="18"/>
    </row>
    <row r="299" spans="1:6" ht="16.5" customHeight="1" x14ac:dyDescent="0.3">
      <c r="A299" s="23"/>
      <c r="B299"/>
      <c r="F299" s="18"/>
    </row>
    <row r="300" spans="1:6" ht="16.5" customHeight="1" x14ac:dyDescent="0.3">
      <c r="A300" s="23"/>
      <c r="B300"/>
      <c r="F300" s="18"/>
    </row>
    <row r="301" spans="1:6" ht="16.5" customHeight="1" x14ac:dyDescent="0.3">
      <c r="A301" s="23"/>
      <c r="B301"/>
      <c r="F301" s="18"/>
    </row>
    <row r="302" spans="1:6" ht="16.5" customHeight="1" x14ac:dyDescent="0.3">
      <c r="A302" s="23"/>
      <c r="B302"/>
      <c r="F302" s="18"/>
    </row>
    <row r="303" spans="1:6" ht="16.5" customHeight="1" x14ac:dyDescent="0.3">
      <c r="A303" s="23"/>
      <c r="B303"/>
      <c r="F303" s="18"/>
    </row>
    <row r="304" spans="1:6" ht="16.5" customHeight="1" x14ac:dyDescent="0.3">
      <c r="A304" s="23"/>
      <c r="B304"/>
      <c r="F304" s="18"/>
    </row>
    <row r="305" spans="1:6" ht="16.5" customHeight="1" x14ac:dyDescent="0.3">
      <c r="A305" s="23"/>
      <c r="B305"/>
      <c r="F305" s="18"/>
    </row>
    <row r="306" spans="1:6" ht="16.5" customHeight="1" x14ac:dyDescent="0.3">
      <c r="A306" s="23"/>
      <c r="B306"/>
      <c r="F306" s="18"/>
    </row>
    <row r="307" spans="1:6" ht="16.5" customHeight="1" x14ac:dyDescent="0.3">
      <c r="A307" s="23"/>
      <c r="B307"/>
      <c r="F307" s="18"/>
    </row>
    <row r="308" spans="1:6" ht="16.5" customHeight="1" x14ac:dyDescent="0.3">
      <c r="A308" s="23"/>
      <c r="B308"/>
      <c r="F308" s="18"/>
    </row>
    <row r="309" spans="1:6" ht="16.5" customHeight="1" x14ac:dyDescent="0.3">
      <c r="A309" s="23"/>
      <c r="B309"/>
      <c r="F309" s="18"/>
    </row>
    <row r="310" spans="1:6" ht="16.5" customHeight="1" x14ac:dyDescent="0.3">
      <c r="A310" s="23"/>
      <c r="B310"/>
      <c r="F310" s="18"/>
    </row>
    <row r="311" spans="1:6" ht="16.5" customHeight="1" x14ac:dyDescent="0.3">
      <c r="A311" s="23"/>
      <c r="B311"/>
      <c r="F311" s="18"/>
    </row>
    <row r="312" spans="1:6" ht="16.5" customHeight="1" x14ac:dyDescent="0.3">
      <c r="A312" s="23"/>
      <c r="B312"/>
      <c r="F312" s="18"/>
    </row>
    <row r="313" spans="1:6" ht="16.5" customHeight="1" x14ac:dyDescent="0.3">
      <c r="A313" s="23"/>
      <c r="B313"/>
      <c r="F313" s="18"/>
    </row>
    <row r="314" spans="1:6" ht="16.5" customHeight="1" x14ac:dyDescent="0.3">
      <c r="A314" s="23"/>
      <c r="B314"/>
      <c r="F314" s="18"/>
    </row>
    <row r="315" spans="1:6" ht="16.5" customHeight="1" x14ac:dyDescent="0.3">
      <c r="A315" s="23"/>
      <c r="B315"/>
      <c r="F315" s="18"/>
    </row>
    <row r="316" spans="1:6" ht="16.5" customHeight="1" x14ac:dyDescent="0.3">
      <c r="A316" s="23"/>
      <c r="B316"/>
      <c r="F316" s="18"/>
    </row>
    <row r="317" spans="1:6" ht="16.5" customHeight="1" x14ac:dyDescent="0.3">
      <c r="A317" s="23"/>
      <c r="B317"/>
      <c r="F317" s="18"/>
    </row>
    <row r="318" spans="1:6" ht="16.5" customHeight="1" x14ac:dyDescent="0.3">
      <c r="A318" s="23"/>
      <c r="B318"/>
      <c r="F318" s="18"/>
    </row>
    <row r="319" spans="1:6" ht="16.5" customHeight="1" x14ac:dyDescent="0.3">
      <c r="A319" s="23"/>
      <c r="B319"/>
      <c r="F319" s="18"/>
    </row>
    <row r="320" spans="1:6" ht="16.5" customHeight="1" x14ac:dyDescent="0.3">
      <c r="A320" s="23"/>
      <c r="B320"/>
      <c r="F320" s="18"/>
    </row>
    <row r="321" spans="1:6" ht="16.5" customHeight="1" x14ac:dyDescent="0.3">
      <c r="A321" s="23"/>
      <c r="B321"/>
      <c r="F321" s="18"/>
    </row>
    <row r="322" spans="1:6" ht="16.5" customHeight="1" x14ac:dyDescent="0.3">
      <c r="A322" s="23"/>
      <c r="B322"/>
      <c r="F322" s="18"/>
    </row>
    <row r="323" spans="1:6" ht="16.5" customHeight="1" x14ac:dyDescent="0.3">
      <c r="A323" s="23"/>
      <c r="B323"/>
      <c r="F323" s="18"/>
    </row>
    <row r="324" spans="1:6" ht="16.5" customHeight="1" x14ac:dyDescent="0.3">
      <c r="A324" s="23"/>
      <c r="B324"/>
      <c r="F324" s="18"/>
    </row>
    <row r="325" spans="1:6" ht="16.5" customHeight="1" x14ac:dyDescent="0.3">
      <c r="A325" s="23"/>
      <c r="B325"/>
      <c r="F325" s="18"/>
    </row>
    <row r="326" spans="1:6" ht="16.5" customHeight="1" x14ac:dyDescent="0.3">
      <c r="A326" s="23"/>
      <c r="B326"/>
      <c r="F326" s="18"/>
    </row>
    <row r="327" spans="1:6" ht="16.5" customHeight="1" x14ac:dyDescent="0.3">
      <c r="A327" s="23"/>
      <c r="B327"/>
      <c r="F327" s="18"/>
    </row>
    <row r="328" spans="1:6" ht="16.5" customHeight="1" x14ac:dyDescent="0.3">
      <c r="A328" s="23"/>
      <c r="B328"/>
      <c r="F328" s="18"/>
    </row>
    <row r="329" spans="1:6" ht="16.5" customHeight="1" x14ac:dyDescent="0.3">
      <c r="A329" s="23"/>
      <c r="B329"/>
      <c r="F329" s="18"/>
    </row>
    <row r="330" spans="1:6" ht="16.5" customHeight="1" x14ac:dyDescent="0.3">
      <c r="A330" s="23"/>
      <c r="B330"/>
      <c r="F330" s="18"/>
    </row>
    <row r="331" spans="1:6" ht="16.5" customHeight="1" x14ac:dyDescent="0.3">
      <c r="A331" s="23"/>
      <c r="B331"/>
      <c r="F331" s="18"/>
    </row>
    <row r="332" spans="1:6" ht="16.5" customHeight="1" x14ac:dyDescent="0.3">
      <c r="A332" s="23"/>
      <c r="B332"/>
      <c r="F332" s="18"/>
    </row>
    <row r="333" spans="1:6" ht="16.5" customHeight="1" x14ac:dyDescent="0.3">
      <c r="A333" s="23"/>
      <c r="B333"/>
      <c r="F333" s="18"/>
    </row>
    <row r="334" spans="1:6" ht="16.5" customHeight="1" x14ac:dyDescent="0.3">
      <c r="A334" s="23"/>
      <c r="B334"/>
      <c r="F334" s="18"/>
    </row>
    <row r="335" spans="1:6" ht="16.5" customHeight="1" x14ac:dyDescent="0.3">
      <c r="A335" s="23"/>
      <c r="B335"/>
      <c r="F335" s="18"/>
    </row>
    <row r="336" spans="1:6" ht="16.5" customHeight="1" x14ac:dyDescent="0.3">
      <c r="A336" s="23"/>
      <c r="B336"/>
      <c r="F336" s="18"/>
    </row>
    <row r="337" spans="1:6" ht="16.5" customHeight="1" x14ac:dyDescent="0.3">
      <c r="A337" s="23"/>
      <c r="B337"/>
      <c r="F337" s="18"/>
    </row>
    <row r="338" spans="1:6" ht="16.5" customHeight="1" x14ac:dyDescent="0.3">
      <c r="A338" s="23"/>
      <c r="B338"/>
      <c r="F338" s="18"/>
    </row>
    <row r="339" spans="1:6" ht="16.5" customHeight="1" x14ac:dyDescent="0.3">
      <c r="A339" s="23"/>
      <c r="B339"/>
      <c r="F339" s="18"/>
    </row>
    <row r="340" spans="1:6" ht="16.5" customHeight="1" x14ac:dyDescent="0.3">
      <c r="A340" s="23"/>
      <c r="B340"/>
      <c r="F340" s="18"/>
    </row>
    <row r="341" spans="1:6" ht="16.5" customHeight="1" x14ac:dyDescent="0.3">
      <c r="A341" s="23"/>
      <c r="B341"/>
      <c r="F341" s="18"/>
    </row>
    <row r="342" spans="1:6" ht="16.5" customHeight="1" x14ac:dyDescent="0.3">
      <c r="A342" s="23"/>
      <c r="B342"/>
      <c r="F342" s="18"/>
    </row>
    <row r="343" spans="1:6" ht="16.5" customHeight="1" x14ac:dyDescent="0.3">
      <c r="A343" s="23"/>
      <c r="B343"/>
      <c r="F343" s="18"/>
    </row>
    <row r="344" spans="1:6" ht="16.5" customHeight="1" x14ac:dyDescent="0.3">
      <c r="A344" s="23"/>
      <c r="B344"/>
      <c r="F344" s="18"/>
    </row>
    <row r="345" spans="1:6" ht="16.5" customHeight="1" x14ac:dyDescent="0.3">
      <c r="A345" s="23"/>
      <c r="B345"/>
      <c r="F345" s="18"/>
    </row>
    <row r="346" spans="1:6" ht="16.5" customHeight="1" x14ac:dyDescent="0.3">
      <c r="A346" s="23"/>
      <c r="B346"/>
      <c r="F346" s="18"/>
    </row>
    <row r="347" spans="1:6" ht="16.5" customHeight="1" x14ac:dyDescent="0.3">
      <c r="A347" s="23"/>
      <c r="B347"/>
      <c r="F347" s="18"/>
    </row>
    <row r="348" spans="1:6" ht="16.5" customHeight="1" x14ac:dyDescent="0.3">
      <c r="A348" s="23"/>
      <c r="B348"/>
      <c r="F348" s="18"/>
    </row>
    <row r="349" spans="1:6" ht="16.5" customHeight="1" x14ac:dyDescent="0.3">
      <c r="A349" s="23"/>
      <c r="B349"/>
      <c r="F349" s="18"/>
    </row>
    <row r="350" spans="1:6" ht="16.5" customHeight="1" x14ac:dyDescent="0.3">
      <c r="A350" s="23"/>
      <c r="B350"/>
      <c r="F350" s="18"/>
    </row>
    <row r="351" spans="1:6" ht="16.5" customHeight="1" x14ac:dyDescent="0.3">
      <c r="A351" s="23"/>
      <c r="B351"/>
      <c r="F351" s="18"/>
    </row>
    <row r="352" spans="1:6" ht="16.5" customHeight="1" x14ac:dyDescent="0.3">
      <c r="A352" s="23"/>
      <c r="B352"/>
      <c r="F352" s="18"/>
    </row>
    <row r="353" spans="1:6" ht="16.5" customHeight="1" x14ac:dyDescent="0.3">
      <c r="A353" s="23"/>
      <c r="B353"/>
      <c r="F353" s="18"/>
    </row>
    <row r="354" spans="1:6" ht="16.5" customHeight="1" x14ac:dyDescent="0.3">
      <c r="A354" s="23"/>
      <c r="B354"/>
      <c r="F354" s="18"/>
    </row>
    <row r="355" spans="1:6" ht="16.5" customHeight="1" x14ac:dyDescent="0.3">
      <c r="A355" s="23"/>
      <c r="B355"/>
      <c r="F355" s="18"/>
    </row>
    <row r="356" spans="1:6" ht="16.5" customHeight="1" x14ac:dyDescent="0.3">
      <c r="A356" s="23"/>
      <c r="B356"/>
      <c r="F356" s="18"/>
    </row>
    <row r="357" spans="1:6" ht="16.5" customHeight="1" x14ac:dyDescent="0.3">
      <c r="A357" s="23"/>
      <c r="B357"/>
      <c r="F357" s="18"/>
    </row>
    <row r="358" spans="1:6" ht="16.5" customHeight="1" x14ac:dyDescent="0.3">
      <c r="A358" s="23"/>
      <c r="B358"/>
      <c r="F358" s="18"/>
    </row>
    <row r="359" spans="1:6" ht="16.5" customHeight="1" x14ac:dyDescent="0.3">
      <c r="A359" s="23"/>
      <c r="B359"/>
      <c r="F359" s="18"/>
    </row>
    <row r="360" spans="1:6" ht="16.5" customHeight="1" x14ac:dyDescent="0.3">
      <c r="A360" s="23"/>
      <c r="B360"/>
      <c r="F360" s="18"/>
    </row>
    <row r="361" spans="1:6" ht="16.5" customHeight="1" x14ac:dyDescent="0.3">
      <c r="A361" s="23"/>
      <c r="B361"/>
      <c r="F361" s="18"/>
    </row>
    <row r="362" spans="1:6" ht="16.5" customHeight="1" x14ac:dyDescent="0.3">
      <c r="A362" s="23"/>
      <c r="B362"/>
      <c r="F362" s="18"/>
    </row>
    <row r="363" spans="1:6" ht="16.5" customHeight="1" x14ac:dyDescent="0.3">
      <c r="A363" s="23"/>
      <c r="B363"/>
      <c r="F363" s="18"/>
    </row>
    <row r="364" spans="1:6" ht="16.5" customHeight="1" x14ac:dyDescent="0.3">
      <c r="A364" s="23"/>
      <c r="B364"/>
      <c r="F364" s="18"/>
    </row>
    <row r="365" spans="1:6" ht="16.5" customHeight="1" x14ac:dyDescent="0.3">
      <c r="A365" s="23"/>
      <c r="B365"/>
      <c r="F365" s="18"/>
    </row>
    <row r="366" spans="1:6" ht="16.5" customHeight="1" x14ac:dyDescent="0.3">
      <c r="A366" s="23"/>
      <c r="B366"/>
      <c r="F366" s="18"/>
    </row>
    <row r="367" spans="1:6" ht="16.5" customHeight="1" x14ac:dyDescent="0.3">
      <c r="A367" s="23"/>
      <c r="B367"/>
      <c r="F367" s="18"/>
    </row>
    <row r="368" spans="1:6" ht="16.5" customHeight="1" x14ac:dyDescent="0.3">
      <c r="A368" s="23"/>
      <c r="B368"/>
      <c r="F368" s="18"/>
    </row>
    <row r="369" spans="1:6" ht="16.5" customHeight="1" x14ac:dyDescent="0.3">
      <c r="A369" s="23"/>
      <c r="B369"/>
      <c r="F369" s="18"/>
    </row>
    <row r="370" spans="1:6" ht="16.5" customHeight="1" x14ac:dyDescent="0.3">
      <c r="A370" s="23"/>
      <c r="B370"/>
      <c r="F370" s="18"/>
    </row>
    <row r="371" spans="1:6" ht="16.5" customHeight="1" x14ac:dyDescent="0.3">
      <c r="A371" s="23"/>
      <c r="B371"/>
      <c r="F371" s="18"/>
    </row>
    <row r="372" spans="1:6" ht="16.5" customHeight="1" x14ac:dyDescent="0.3">
      <c r="A372" s="23"/>
      <c r="B372"/>
      <c r="F372" s="18"/>
    </row>
    <row r="373" spans="1:6" ht="16.5" customHeight="1" x14ac:dyDescent="0.3">
      <c r="A373" s="23"/>
      <c r="B373"/>
      <c r="F373" s="18"/>
    </row>
    <row r="374" spans="1:6" ht="16.5" customHeight="1" x14ac:dyDescent="0.3">
      <c r="A374" s="23"/>
      <c r="B374"/>
      <c r="F374" s="18"/>
    </row>
    <row r="375" spans="1:6" ht="16.5" customHeight="1" x14ac:dyDescent="0.3">
      <c r="A375" s="23"/>
      <c r="B375"/>
      <c r="F375" s="18"/>
    </row>
    <row r="376" spans="1:6" ht="16.5" customHeight="1" x14ac:dyDescent="0.3">
      <c r="A376" s="23"/>
      <c r="B376"/>
      <c r="F376" s="18"/>
    </row>
    <row r="377" spans="1:6" ht="16.5" customHeight="1" x14ac:dyDescent="0.3">
      <c r="A377" s="23"/>
      <c r="B377"/>
      <c r="F377" s="18"/>
    </row>
    <row r="378" spans="1:6" ht="16.5" customHeight="1" x14ac:dyDescent="0.3">
      <c r="A378" s="23"/>
      <c r="B378"/>
      <c r="F378" s="18"/>
    </row>
    <row r="379" spans="1:6" ht="16.5" customHeight="1" x14ac:dyDescent="0.3">
      <c r="A379" s="23"/>
      <c r="F379" s="18"/>
    </row>
    <row r="380" spans="1:6" ht="16.5" customHeight="1" x14ac:dyDescent="0.3">
      <c r="A380" s="23"/>
      <c r="B380"/>
      <c r="F380" s="18"/>
    </row>
    <row r="381" spans="1:6" ht="16.5" customHeight="1" x14ac:dyDescent="0.3">
      <c r="A381" s="23"/>
      <c r="B381"/>
      <c r="F381" s="18"/>
    </row>
    <row r="382" spans="1:6" ht="16.5" customHeight="1" x14ac:dyDescent="0.3">
      <c r="A382" s="23"/>
      <c r="B382"/>
      <c r="F382" s="18"/>
    </row>
    <row r="383" spans="1:6" ht="16.5" customHeight="1" x14ac:dyDescent="0.3">
      <c r="A383" s="23"/>
      <c r="B383"/>
      <c r="F383" s="18"/>
    </row>
    <row r="384" spans="1:6" ht="16.5" customHeight="1" x14ac:dyDescent="0.3">
      <c r="A384" s="23"/>
      <c r="B384"/>
      <c r="F384" s="18"/>
    </row>
    <row r="385" spans="1:6" ht="16.5" customHeight="1" x14ac:dyDescent="0.3">
      <c r="A385" s="23"/>
      <c r="B385"/>
      <c r="F385" s="18"/>
    </row>
    <row r="386" spans="1:6" ht="16.5" customHeight="1" x14ac:dyDescent="0.3">
      <c r="A386" s="23"/>
      <c r="B386"/>
      <c r="F386" s="18"/>
    </row>
    <row r="387" spans="1:6" ht="16.5" customHeight="1" x14ac:dyDescent="0.3">
      <c r="A387" s="23"/>
      <c r="B387"/>
      <c r="F387" s="18"/>
    </row>
    <row r="388" spans="1:6" ht="16.5" customHeight="1" x14ac:dyDescent="0.3">
      <c r="A388" s="23"/>
      <c r="B388"/>
      <c r="F388" s="18"/>
    </row>
    <row r="389" spans="1:6" ht="16.5" customHeight="1" x14ac:dyDescent="0.3">
      <c r="A389" s="23"/>
      <c r="B389"/>
      <c r="F389" s="18"/>
    </row>
    <row r="390" spans="1:6" ht="16.5" customHeight="1" x14ac:dyDescent="0.3">
      <c r="A390" s="23"/>
      <c r="B390"/>
      <c r="F390" s="18"/>
    </row>
    <row r="391" spans="1:6" ht="16.5" customHeight="1" x14ac:dyDescent="0.3">
      <c r="A391" s="23"/>
      <c r="B391"/>
      <c r="F391" s="18"/>
    </row>
    <row r="392" spans="1:6" ht="16.5" customHeight="1" x14ac:dyDescent="0.3">
      <c r="A392" s="23"/>
      <c r="B392"/>
      <c r="F392" s="18"/>
    </row>
    <row r="393" spans="1:6" ht="16.5" customHeight="1" x14ac:dyDescent="0.3">
      <c r="A393" s="23"/>
      <c r="B393"/>
      <c r="F393" s="18"/>
    </row>
    <row r="394" spans="1:6" ht="16.5" customHeight="1" x14ac:dyDescent="0.3">
      <c r="A394" s="23"/>
      <c r="B394"/>
      <c r="F394" s="18"/>
    </row>
    <row r="395" spans="1:6" ht="16.5" customHeight="1" x14ac:dyDescent="0.3">
      <c r="A395" s="23"/>
      <c r="B395"/>
      <c r="F395" s="18"/>
    </row>
    <row r="396" spans="1:6" ht="16.5" customHeight="1" x14ac:dyDescent="0.3">
      <c r="A396" s="23"/>
      <c r="B396"/>
      <c r="F396" s="18"/>
    </row>
    <row r="397" spans="1:6" ht="16.5" customHeight="1" x14ac:dyDescent="0.3">
      <c r="A397" s="23"/>
      <c r="B397"/>
      <c r="F397" s="18"/>
    </row>
    <row r="398" spans="1:6" ht="16.5" customHeight="1" x14ac:dyDescent="0.3">
      <c r="A398" s="23"/>
      <c r="B398"/>
      <c r="F398" s="18"/>
    </row>
    <row r="399" spans="1:6" ht="16.5" customHeight="1" x14ac:dyDescent="0.3">
      <c r="A399" s="23"/>
      <c r="B399"/>
      <c r="F399" s="18"/>
    </row>
    <row r="400" spans="1:6" ht="16.5" customHeight="1" x14ac:dyDescent="0.3">
      <c r="A400" s="23"/>
      <c r="B400"/>
      <c r="F400" s="18"/>
    </row>
    <row r="401" spans="1:6" ht="16.5" customHeight="1" x14ac:dyDescent="0.3">
      <c r="A401" s="23"/>
      <c r="B401"/>
      <c r="F401" s="18"/>
    </row>
    <row r="402" spans="1:6" ht="16.5" customHeight="1" x14ac:dyDescent="0.3">
      <c r="A402" s="23"/>
      <c r="B402"/>
      <c r="F402" s="18"/>
    </row>
    <row r="403" spans="1:6" ht="16.5" customHeight="1" x14ac:dyDescent="0.3">
      <c r="A403" s="23"/>
      <c r="B403"/>
      <c r="F403" s="18"/>
    </row>
    <row r="404" spans="1:6" ht="16.5" customHeight="1" x14ac:dyDescent="0.3">
      <c r="A404" s="23"/>
      <c r="B404"/>
      <c r="F404" s="18"/>
    </row>
    <row r="405" spans="1:6" ht="16.5" customHeight="1" x14ac:dyDescent="0.3">
      <c r="A405" s="23"/>
      <c r="B405"/>
      <c r="F405" s="18"/>
    </row>
    <row r="406" spans="1:6" ht="16.5" customHeight="1" x14ac:dyDescent="0.3">
      <c r="A406" s="23"/>
      <c r="B406"/>
      <c r="F406" s="18"/>
    </row>
    <row r="407" spans="1:6" ht="16.5" customHeight="1" x14ac:dyDescent="0.3">
      <c r="A407" s="23"/>
      <c r="B407"/>
      <c r="F407" s="18"/>
    </row>
    <row r="408" spans="1:6" ht="16.5" customHeight="1" x14ac:dyDescent="0.3">
      <c r="A408" s="23"/>
      <c r="B408"/>
      <c r="F408" s="18"/>
    </row>
    <row r="409" spans="1:6" ht="16.5" customHeight="1" x14ac:dyDescent="0.3">
      <c r="A409" s="23"/>
      <c r="B409"/>
      <c r="F409" s="18"/>
    </row>
    <row r="410" spans="1:6" ht="16.5" customHeight="1" x14ac:dyDescent="0.3">
      <c r="A410" s="23"/>
      <c r="B410"/>
      <c r="F410" s="18"/>
    </row>
    <row r="411" spans="1:6" ht="16.5" customHeight="1" x14ac:dyDescent="0.3">
      <c r="A411" s="23"/>
      <c r="B411"/>
      <c r="F411" s="18"/>
    </row>
    <row r="412" spans="1:6" ht="16.5" customHeight="1" x14ac:dyDescent="0.3">
      <c r="A412" s="23"/>
      <c r="B412"/>
      <c r="F412" s="18"/>
    </row>
    <row r="413" spans="1:6" ht="16.5" customHeight="1" x14ac:dyDescent="0.3">
      <c r="A413" s="23"/>
      <c r="B413"/>
      <c r="F413" s="18"/>
    </row>
    <row r="414" spans="1:6" ht="16.5" customHeight="1" x14ac:dyDescent="0.3">
      <c r="A414" s="23"/>
      <c r="B414"/>
      <c r="F414" s="18"/>
    </row>
    <row r="415" spans="1:6" ht="16.5" customHeight="1" x14ac:dyDescent="0.3">
      <c r="A415" s="23"/>
      <c r="B415"/>
      <c r="F415" s="18"/>
    </row>
    <row r="416" spans="1:6" ht="16.5" customHeight="1" x14ac:dyDescent="0.3">
      <c r="A416" s="23"/>
      <c r="B416"/>
      <c r="D416" s="16"/>
      <c r="E416" s="17"/>
      <c r="F416" s="22"/>
    </row>
    <row r="417" spans="1:6" ht="16.5" customHeight="1" x14ac:dyDescent="0.3">
      <c r="A417" s="23"/>
      <c r="B417"/>
      <c r="F417" s="18"/>
    </row>
    <row r="418" spans="1:6" ht="16.5" customHeight="1" x14ac:dyDescent="0.3">
      <c r="A418" s="23"/>
      <c r="B418"/>
      <c r="F418" s="18"/>
    </row>
    <row r="419" spans="1:6" ht="16.5" customHeight="1" x14ac:dyDescent="0.3">
      <c r="A419" s="23"/>
      <c r="B419"/>
      <c r="F419" s="18"/>
    </row>
    <row r="420" spans="1:6" ht="16.5" customHeight="1" x14ac:dyDescent="0.3">
      <c r="A420" s="23"/>
      <c r="B420"/>
      <c r="F420" s="18"/>
    </row>
    <row r="421" spans="1:6" ht="16.5" customHeight="1" x14ac:dyDescent="0.3">
      <c r="A421" s="23"/>
      <c r="B421"/>
      <c r="F421" s="18"/>
    </row>
    <row r="422" spans="1:6" ht="16.5" customHeight="1" x14ac:dyDescent="0.3">
      <c r="A422" s="23"/>
      <c r="B422"/>
      <c r="F422" s="18"/>
    </row>
    <row r="423" spans="1:6" ht="16.5" customHeight="1" x14ac:dyDescent="0.3">
      <c r="A423" s="23"/>
      <c r="B423"/>
      <c r="F423" s="18"/>
    </row>
    <row r="424" spans="1:6" ht="16.5" customHeight="1" x14ac:dyDescent="0.3">
      <c r="A424" s="23"/>
      <c r="B424"/>
      <c r="F424" s="18"/>
    </row>
    <row r="425" spans="1:6" ht="16.5" customHeight="1" x14ac:dyDescent="0.3">
      <c r="A425" s="23"/>
      <c r="B425"/>
      <c r="F425" s="18"/>
    </row>
    <row r="426" spans="1:6" ht="16.5" customHeight="1" x14ac:dyDescent="0.3">
      <c r="A426" s="23"/>
      <c r="B426"/>
      <c r="F426" s="18"/>
    </row>
    <row r="427" spans="1:6" ht="16.5" customHeight="1" x14ac:dyDescent="0.3">
      <c r="A427" s="23"/>
      <c r="B427"/>
      <c r="F427" s="18"/>
    </row>
    <row r="428" spans="1:6" ht="16.5" customHeight="1" x14ac:dyDescent="0.3">
      <c r="A428" s="23"/>
      <c r="B428"/>
      <c r="F428" s="18"/>
    </row>
    <row r="429" spans="1:6" ht="16.5" customHeight="1" x14ac:dyDescent="0.3">
      <c r="A429" s="23"/>
      <c r="B429"/>
      <c r="F429" s="18"/>
    </row>
    <row r="430" spans="1:6" ht="16.5" customHeight="1" x14ac:dyDescent="0.3">
      <c r="A430" s="23"/>
      <c r="B430"/>
      <c r="F430" s="18"/>
    </row>
    <row r="431" spans="1:6" ht="16.5" customHeight="1" x14ac:dyDescent="0.3">
      <c r="A431" s="23"/>
      <c r="B431"/>
      <c r="F431" s="18"/>
    </row>
    <row r="432" spans="1:6" ht="16.5" customHeight="1" x14ac:dyDescent="0.3">
      <c r="A432" s="23"/>
      <c r="B432"/>
      <c r="F432" s="18"/>
    </row>
    <row r="433" spans="1:6" ht="16.5" customHeight="1" x14ac:dyDescent="0.3">
      <c r="A433" s="23"/>
      <c r="B433"/>
      <c r="F433" s="18"/>
    </row>
    <row r="434" spans="1:6" ht="16.5" customHeight="1" x14ac:dyDescent="0.3">
      <c r="A434" s="23"/>
      <c r="B434"/>
      <c r="F434" s="18"/>
    </row>
    <row r="435" spans="1:6" ht="16.149999999999999" customHeight="1" x14ac:dyDescent="0.3">
      <c r="A435" s="23"/>
      <c r="B435"/>
      <c r="F435" s="18"/>
    </row>
    <row r="436" spans="1:6" ht="16.5" customHeight="1" x14ac:dyDescent="0.3">
      <c r="A436" s="23"/>
      <c r="B436"/>
      <c r="F436" s="18"/>
    </row>
    <row r="437" spans="1:6" ht="16.5" customHeight="1" x14ac:dyDescent="0.3">
      <c r="A437" s="23"/>
      <c r="B437"/>
      <c r="F437" s="18"/>
    </row>
    <row r="438" spans="1:6" ht="16.5" customHeight="1" x14ac:dyDescent="0.3">
      <c r="A438" s="23"/>
      <c r="B438"/>
      <c r="F438" s="18"/>
    </row>
    <row r="439" spans="1:6" ht="16.5" customHeight="1" x14ac:dyDescent="0.3">
      <c r="A439" s="23"/>
      <c r="B439"/>
      <c r="F439" s="18"/>
    </row>
    <row r="440" spans="1:6" ht="16.5" customHeight="1" x14ac:dyDescent="0.3">
      <c r="A440" s="23"/>
      <c r="B440"/>
      <c r="D440" s="16"/>
      <c r="E440" s="17"/>
      <c r="F440" s="22"/>
    </row>
    <row r="441" spans="1:6" ht="16.5" customHeight="1" x14ac:dyDescent="0.3">
      <c r="A441" s="23"/>
      <c r="B441"/>
      <c r="F441" s="18"/>
    </row>
    <row r="442" spans="1:6" ht="16.5" customHeight="1" x14ac:dyDescent="0.3">
      <c r="A442" s="23"/>
      <c r="B442"/>
      <c r="F442" s="18"/>
    </row>
    <row r="443" spans="1:6" ht="16.5" customHeight="1" x14ac:dyDescent="0.3">
      <c r="A443" s="23"/>
      <c r="B443"/>
      <c r="F443" s="18"/>
    </row>
    <row r="444" spans="1:6" ht="16.5" customHeight="1" x14ac:dyDescent="0.3">
      <c r="A444" s="23"/>
      <c r="B444"/>
      <c r="F444" s="18"/>
    </row>
    <row r="445" spans="1:6" ht="16.5" customHeight="1" x14ac:dyDescent="0.3">
      <c r="A445" s="23"/>
      <c r="B445"/>
      <c r="F445" s="18"/>
    </row>
    <row r="446" spans="1:6" ht="16.5" customHeight="1" x14ac:dyDescent="0.3">
      <c r="A446" s="23"/>
      <c r="B446"/>
      <c r="F446" s="18"/>
    </row>
    <row r="447" spans="1:6" ht="16.5" customHeight="1" x14ac:dyDescent="0.3">
      <c r="A447" s="23"/>
      <c r="B447"/>
      <c r="F447" s="18"/>
    </row>
    <row r="448" spans="1:6" ht="16.5" customHeight="1" x14ac:dyDescent="0.3">
      <c r="A448" s="23"/>
      <c r="B448"/>
      <c r="F448" s="18"/>
    </row>
    <row r="449" spans="1:6" ht="16.5" customHeight="1" x14ac:dyDescent="0.3">
      <c r="A449" s="23"/>
      <c r="B449"/>
      <c r="F449" s="18"/>
    </row>
    <row r="450" spans="1:6" ht="16.5" customHeight="1" x14ac:dyDescent="0.3">
      <c r="A450" s="23"/>
      <c r="B450"/>
      <c r="F450" s="18"/>
    </row>
    <row r="451" spans="1:6" ht="16.5" customHeight="1" x14ac:dyDescent="0.3">
      <c r="A451" s="23"/>
      <c r="B451"/>
      <c r="F451" s="18"/>
    </row>
    <row r="452" spans="1:6" ht="16.5" customHeight="1" x14ac:dyDescent="0.3">
      <c r="A452" s="23"/>
      <c r="B452"/>
      <c r="F452" s="18"/>
    </row>
    <row r="453" spans="1:6" ht="16.5" customHeight="1" x14ac:dyDescent="0.3">
      <c r="A453" s="23"/>
      <c r="B453"/>
      <c r="F453" s="18"/>
    </row>
    <row r="454" spans="1:6" ht="16.5" customHeight="1" x14ac:dyDescent="0.3">
      <c r="A454" s="23"/>
      <c r="B454"/>
      <c r="F454" s="18"/>
    </row>
    <row r="455" spans="1:6" ht="16.5" customHeight="1" x14ac:dyDescent="0.3">
      <c r="A455" s="23"/>
      <c r="B455"/>
      <c r="F455" s="18"/>
    </row>
    <row r="456" spans="1:6" ht="16.5" customHeight="1" x14ac:dyDescent="0.3">
      <c r="A456" s="23"/>
      <c r="B456"/>
      <c r="F456" s="18"/>
    </row>
    <row r="457" spans="1:6" ht="16.5" customHeight="1" x14ac:dyDescent="0.3">
      <c r="A457" s="23"/>
      <c r="B457"/>
      <c r="F457" s="18"/>
    </row>
    <row r="458" spans="1:6" ht="16.5" customHeight="1" x14ac:dyDescent="0.3">
      <c r="A458" s="23"/>
      <c r="B458"/>
      <c r="F458" s="18"/>
    </row>
    <row r="459" spans="1:6" ht="16.5" customHeight="1" x14ac:dyDescent="0.3">
      <c r="A459" s="23"/>
      <c r="B459"/>
      <c r="F459" s="18"/>
    </row>
    <row r="460" spans="1:6" ht="16.5" customHeight="1" x14ac:dyDescent="0.3">
      <c r="A460" s="23"/>
      <c r="B460"/>
      <c r="F460" s="18"/>
    </row>
    <row r="461" spans="1:6" ht="16.5" customHeight="1" x14ac:dyDescent="0.3">
      <c r="A461" s="23"/>
      <c r="B461"/>
      <c r="F461" s="18"/>
    </row>
    <row r="462" spans="1:6" ht="16.5" customHeight="1" x14ac:dyDescent="0.3">
      <c r="A462" s="23"/>
      <c r="B462"/>
      <c r="F462" s="18"/>
    </row>
    <row r="463" spans="1:6" ht="16.5" customHeight="1" x14ac:dyDescent="0.3">
      <c r="A463" s="23"/>
      <c r="B463"/>
      <c r="F463" s="18"/>
    </row>
    <row r="464" spans="1:6" ht="16.5" customHeight="1" x14ac:dyDescent="0.3">
      <c r="A464" s="23"/>
      <c r="B464"/>
      <c r="F464" s="18"/>
    </row>
    <row r="465" spans="1:6" ht="16.5" customHeight="1" x14ac:dyDescent="0.3">
      <c r="A465" s="23"/>
      <c r="B465"/>
      <c r="F465" s="18"/>
    </row>
    <row r="466" spans="1:6" ht="16.5" customHeight="1" x14ac:dyDescent="0.3">
      <c r="A466" s="23"/>
      <c r="B466"/>
      <c r="F466" s="18"/>
    </row>
    <row r="467" spans="1:6" ht="16.5" customHeight="1" x14ac:dyDescent="0.3">
      <c r="A467" s="23"/>
      <c r="B467"/>
      <c r="F467" s="18"/>
    </row>
    <row r="468" spans="1:6" ht="16.5" customHeight="1" x14ac:dyDescent="0.3">
      <c r="A468" s="23"/>
      <c r="B468"/>
      <c r="F468" s="18"/>
    </row>
    <row r="469" spans="1:6" ht="16.5" customHeight="1" x14ac:dyDescent="0.3">
      <c r="A469" s="23"/>
      <c r="B469"/>
      <c r="F469" s="18"/>
    </row>
    <row r="470" spans="1:6" ht="16.5" customHeight="1" x14ac:dyDescent="0.3">
      <c r="A470" s="23"/>
      <c r="B470"/>
      <c r="F470" s="18"/>
    </row>
    <row r="471" spans="1:6" ht="16.5" customHeight="1" x14ac:dyDescent="0.3">
      <c r="A471" s="23"/>
      <c r="B471"/>
      <c r="F471" s="18"/>
    </row>
    <row r="472" spans="1:6" ht="16.5" customHeight="1" x14ac:dyDescent="0.3">
      <c r="A472" s="23"/>
      <c r="B472"/>
      <c r="F472" s="18"/>
    </row>
    <row r="473" spans="1:6" ht="16.5" customHeight="1" x14ac:dyDescent="0.3">
      <c r="A473" s="23"/>
      <c r="B473"/>
      <c r="F473" s="18"/>
    </row>
    <row r="474" spans="1:6" ht="16.5" customHeight="1" x14ac:dyDescent="0.3">
      <c r="A474" s="23"/>
      <c r="B474"/>
      <c r="F474" s="18"/>
    </row>
    <row r="475" spans="1:6" ht="16.5" customHeight="1" x14ac:dyDescent="0.3">
      <c r="A475" s="23"/>
      <c r="B475"/>
      <c r="F475" s="18"/>
    </row>
    <row r="476" spans="1:6" ht="16.5" customHeight="1" x14ac:dyDescent="0.3">
      <c r="A476" s="23"/>
      <c r="B476"/>
      <c r="F476" s="18"/>
    </row>
    <row r="477" spans="1:6" ht="16.5" customHeight="1" x14ac:dyDescent="0.3">
      <c r="A477" s="23"/>
      <c r="B477"/>
      <c r="F477" s="18"/>
    </row>
    <row r="478" spans="1:6" ht="16.5" customHeight="1" x14ac:dyDescent="0.3">
      <c r="A478" s="23"/>
      <c r="B478"/>
      <c r="F478" s="18"/>
    </row>
    <row r="479" spans="1:6" ht="16.5" customHeight="1" x14ac:dyDescent="0.3">
      <c r="A479" s="23"/>
      <c r="B479"/>
      <c r="F479" s="18"/>
    </row>
    <row r="480" spans="1:6" ht="16.5" customHeight="1" x14ac:dyDescent="0.3">
      <c r="A480" s="23"/>
      <c r="B480"/>
      <c r="F480" s="18"/>
    </row>
    <row r="481" spans="1:6" ht="16.5" customHeight="1" x14ac:dyDescent="0.3">
      <c r="A481" s="23"/>
      <c r="B481"/>
      <c r="F481" s="18"/>
    </row>
    <row r="482" spans="1:6" ht="16.5" customHeight="1" x14ac:dyDescent="0.3">
      <c r="A482" s="23"/>
      <c r="B482"/>
      <c r="F482" s="18"/>
    </row>
    <row r="483" spans="1:6" ht="16.5" customHeight="1" x14ac:dyDescent="0.3">
      <c r="A483" s="23"/>
      <c r="B483"/>
      <c r="F483" s="18"/>
    </row>
    <row r="484" spans="1:6" ht="16.5" customHeight="1" x14ac:dyDescent="0.3">
      <c r="A484" s="23"/>
      <c r="B484"/>
      <c r="F484" s="18"/>
    </row>
    <row r="485" spans="1:6" ht="16.5" customHeight="1" x14ac:dyDescent="0.3">
      <c r="A485" s="23"/>
      <c r="B485"/>
      <c r="F485" s="18"/>
    </row>
    <row r="486" spans="1:6" ht="16.5" customHeight="1" x14ac:dyDescent="0.3">
      <c r="A486" s="23"/>
      <c r="B486"/>
      <c r="F486" s="18"/>
    </row>
    <row r="487" spans="1:6" ht="16.5" customHeight="1" x14ac:dyDescent="0.3">
      <c r="A487" s="23"/>
      <c r="B487"/>
      <c r="F487" s="18"/>
    </row>
    <row r="488" spans="1:6" ht="16.5" customHeight="1" x14ac:dyDescent="0.3">
      <c r="A488" s="23"/>
      <c r="B488"/>
      <c r="F488" s="18"/>
    </row>
    <row r="489" spans="1:6" ht="16.5" customHeight="1" x14ac:dyDescent="0.3">
      <c r="A489" s="23"/>
      <c r="B489"/>
      <c r="F489" s="18"/>
    </row>
    <row r="490" spans="1:6" ht="16.5" customHeight="1" x14ac:dyDescent="0.3">
      <c r="A490" s="23"/>
      <c r="B490"/>
      <c r="F490" s="18"/>
    </row>
    <row r="491" spans="1:6" ht="16.5" customHeight="1" x14ac:dyDescent="0.3">
      <c r="A491" s="23"/>
      <c r="B491"/>
      <c r="F491" s="18"/>
    </row>
    <row r="492" spans="1:6" ht="16.5" customHeight="1" x14ac:dyDescent="0.3">
      <c r="A492" s="23"/>
      <c r="B492"/>
      <c r="F492" s="18"/>
    </row>
    <row r="493" spans="1:6" ht="16.5" customHeight="1" x14ac:dyDescent="0.3">
      <c r="A493" s="23"/>
      <c r="B493"/>
      <c r="F493" s="18"/>
    </row>
    <row r="494" spans="1:6" ht="16.5" customHeight="1" x14ac:dyDescent="0.3">
      <c r="A494" s="23"/>
      <c r="B494"/>
      <c r="F494" s="18"/>
    </row>
    <row r="495" spans="1:6" ht="16.5" customHeight="1" x14ac:dyDescent="0.3">
      <c r="A495" s="23"/>
      <c r="B495"/>
      <c r="F495" s="18"/>
    </row>
    <row r="496" spans="1:6" ht="16.5" customHeight="1" x14ac:dyDescent="0.3">
      <c r="A496" s="23"/>
      <c r="B496"/>
      <c r="F496" s="18"/>
    </row>
    <row r="497" spans="1:6" ht="16.5" customHeight="1" x14ac:dyDescent="0.3">
      <c r="A497" s="23"/>
      <c r="B497"/>
      <c r="F497" s="18"/>
    </row>
    <row r="498" spans="1:6" ht="16.5" customHeight="1" x14ac:dyDescent="0.3">
      <c r="A498" s="23"/>
      <c r="B498"/>
      <c r="F498" s="18"/>
    </row>
    <row r="499" spans="1:6" ht="16.5" customHeight="1" x14ac:dyDescent="0.3">
      <c r="A499" s="23"/>
      <c r="B499"/>
      <c r="F499" s="18"/>
    </row>
    <row r="500" spans="1:6" ht="16.5" customHeight="1" x14ac:dyDescent="0.3">
      <c r="A500" s="23"/>
      <c r="B500"/>
      <c r="F500" s="18"/>
    </row>
    <row r="501" spans="1:6" ht="16.5" customHeight="1" x14ac:dyDescent="0.3">
      <c r="A501" s="23"/>
      <c r="B501"/>
      <c r="F501" s="18"/>
    </row>
    <row r="502" spans="1:6" ht="16.5" customHeight="1" x14ac:dyDescent="0.3">
      <c r="A502" s="23"/>
      <c r="B502"/>
      <c r="F502" s="18"/>
    </row>
    <row r="503" spans="1:6" ht="16.5" customHeight="1" x14ac:dyDescent="0.3">
      <c r="A503" s="23"/>
      <c r="B503"/>
      <c r="F503" s="18"/>
    </row>
    <row r="504" spans="1:6" ht="16.5" customHeight="1" x14ac:dyDescent="0.3">
      <c r="A504" s="23"/>
      <c r="B504"/>
      <c r="F504" s="18"/>
    </row>
    <row r="505" spans="1:6" ht="16.5" customHeight="1" x14ac:dyDescent="0.3">
      <c r="A505" s="23"/>
      <c r="B505"/>
      <c r="F505" s="18"/>
    </row>
    <row r="506" spans="1:6" ht="16.5" customHeight="1" x14ac:dyDescent="0.3">
      <c r="A506" s="23"/>
      <c r="B506"/>
      <c r="F506" s="18"/>
    </row>
    <row r="507" spans="1:6" ht="16.5" customHeight="1" x14ac:dyDescent="0.3">
      <c r="A507" s="23"/>
      <c r="B507"/>
      <c r="F507" s="18"/>
    </row>
    <row r="508" spans="1:6" ht="16.5" customHeight="1" x14ac:dyDescent="0.3">
      <c r="A508" s="23"/>
      <c r="B508"/>
      <c r="F508" s="18"/>
    </row>
    <row r="509" spans="1:6" ht="16.5" customHeight="1" x14ac:dyDescent="0.3">
      <c r="A509" s="23"/>
      <c r="B509"/>
      <c r="F509" s="18"/>
    </row>
    <row r="510" spans="1:6" ht="16.5" customHeight="1" x14ac:dyDescent="0.3">
      <c r="A510" s="23"/>
      <c r="B510"/>
      <c r="F510" s="18"/>
    </row>
    <row r="511" spans="1:6" ht="16.5" customHeight="1" x14ac:dyDescent="0.3">
      <c r="A511" s="23"/>
      <c r="B511"/>
      <c r="F511" s="19"/>
    </row>
    <row r="512" spans="1:6" ht="16.5" customHeight="1" x14ac:dyDescent="0.3">
      <c r="A512" s="23"/>
      <c r="B512"/>
      <c r="F512" s="18"/>
    </row>
    <row r="513" spans="1:6" ht="16.5" customHeight="1" x14ac:dyDescent="0.3">
      <c r="A513" s="23"/>
      <c r="B513"/>
      <c r="F513" s="18"/>
    </row>
    <row r="514" spans="1:6" ht="16.5" customHeight="1" x14ac:dyDescent="0.3">
      <c r="A514" s="23"/>
      <c r="B514"/>
      <c r="F514" s="18"/>
    </row>
    <row r="515" spans="1:6" ht="16.5" customHeight="1" x14ac:dyDescent="0.3">
      <c r="A515" s="23"/>
      <c r="B515"/>
      <c r="F515" s="18"/>
    </row>
    <row r="516" spans="1:6" ht="16.5" customHeight="1" x14ac:dyDescent="0.3">
      <c r="A516" s="23"/>
      <c r="B516"/>
      <c r="F516" s="18"/>
    </row>
    <row r="517" spans="1:6" ht="16.5" customHeight="1" x14ac:dyDescent="0.3">
      <c r="A517" s="23"/>
      <c r="B517"/>
      <c r="F517" s="18"/>
    </row>
    <row r="518" spans="1:6" ht="16.5" customHeight="1" x14ac:dyDescent="0.3">
      <c r="A518" s="23"/>
      <c r="B518"/>
      <c r="F518" s="18"/>
    </row>
    <row r="519" spans="1:6" ht="16.5" customHeight="1" x14ac:dyDescent="0.3">
      <c r="A519" s="23"/>
      <c r="B519"/>
      <c r="F519" s="18"/>
    </row>
    <row r="520" spans="1:6" ht="16.5" customHeight="1" x14ac:dyDescent="0.3">
      <c r="A520" s="23"/>
      <c r="B520"/>
      <c r="F520" s="18"/>
    </row>
    <row r="521" spans="1:6" ht="16.5" customHeight="1" x14ac:dyDescent="0.3">
      <c r="A521" s="23"/>
      <c r="B521"/>
      <c r="F521" s="18"/>
    </row>
    <row r="522" spans="1:6" ht="16.5" customHeight="1" x14ac:dyDescent="0.3">
      <c r="A522" s="23"/>
      <c r="B522"/>
      <c r="F522" s="18"/>
    </row>
    <row r="523" spans="1:6" ht="16.5" customHeight="1" x14ac:dyDescent="0.3">
      <c r="A523" s="23"/>
      <c r="B523"/>
      <c r="F523" s="18"/>
    </row>
    <row r="524" spans="1:6" ht="16.5" customHeight="1" x14ac:dyDescent="0.3">
      <c r="A524" s="23"/>
      <c r="B524"/>
      <c r="F524" s="18"/>
    </row>
    <row r="525" spans="1:6" ht="16.5" customHeight="1" x14ac:dyDescent="0.3">
      <c r="A525" s="23"/>
      <c r="B525"/>
      <c r="F525" s="18"/>
    </row>
    <row r="526" spans="1:6" ht="16.5" customHeight="1" x14ac:dyDescent="0.3">
      <c r="A526" s="23"/>
      <c r="B526"/>
      <c r="F526" s="18"/>
    </row>
    <row r="527" spans="1:6" ht="16.5" customHeight="1" x14ac:dyDescent="0.3">
      <c r="A527" s="23"/>
      <c r="B527"/>
      <c r="F527" s="18"/>
    </row>
    <row r="528" spans="1:6" ht="16.5" customHeight="1" x14ac:dyDescent="0.3">
      <c r="A528" s="23"/>
      <c r="B528"/>
      <c r="F528" s="18"/>
    </row>
    <row r="529" spans="1:6" ht="16.5" customHeight="1" x14ac:dyDescent="0.3">
      <c r="A529" s="23"/>
      <c r="B529"/>
      <c r="F529" s="18"/>
    </row>
    <row r="530" spans="1:6" ht="16.5" customHeight="1" x14ac:dyDescent="0.3">
      <c r="A530" s="23"/>
      <c r="B530"/>
      <c r="F530" s="18"/>
    </row>
    <row r="531" spans="1:6" ht="16.5" customHeight="1" x14ac:dyDescent="0.3">
      <c r="A531" s="23"/>
      <c r="B531"/>
      <c r="F531" s="18"/>
    </row>
    <row r="532" spans="1:6" ht="16.5" customHeight="1" x14ac:dyDescent="0.3">
      <c r="A532" s="23"/>
      <c r="B532"/>
      <c r="F532" s="18"/>
    </row>
    <row r="533" spans="1:6" ht="16.5" customHeight="1" x14ac:dyDescent="0.3">
      <c r="A533" s="23"/>
      <c r="B533"/>
      <c r="F533" s="18"/>
    </row>
    <row r="534" spans="1:6" ht="16.5" customHeight="1" x14ac:dyDescent="0.3">
      <c r="A534" s="23"/>
      <c r="B534"/>
      <c r="F534" s="18"/>
    </row>
    <row r="535" spans="1:6" ht="16.5" customHeight="1" x14ac:dyDescent="0.3">
      <c r="A535" s="23"/>
      <c r="B535"/>
      <c r="F535" s="18"/>
    </row>
    <row r="536" spans="1:6" ht="16.5" customHeight="1" x14ac:dyDescent="0.3">
      <c r="A536" s="23"/>
      <c r="B536"/>
      <c r="F536" s="18"/>
    </row>
    <row r="537" spans="1:6" ht="16.5" customHeight="1" x14ac:dyDescent="0.3">
      <c r="A537" s="23"/>
      <c r="B537"/>
      <c r="F537" s="18"/>
    </row>
    <row r="538" spans="1:6" ht="16.5" customHeight="1" x14ac:dyDescent="0.3">
      <c r="A538" s="23"/>
      <c r="B538"/>
      <c r="F538" s="18"/>
    </row>
    <row r="539" spans="1:6" ht="16.5" customHeight="1" x14ac:dyDescent="0.3">
      <c r="A539" s="23"/>
      <c r="B539"/>
      <c r="F539" s="18"/>
    </row>
    <row r="540" spans="1:6" ht="16.5" customHeight="1" x14ac:dyDescent="0.3">
      <c r="A540" s="23"/>
      <c r="B540"/>
      <c r="F540" s="18"/>
    </row>
    <row r="541" spans="1:6" ht="16.5" customHeight="1" x14ac:dyDescent="0.3">
      <c r="A541" s="23"/>
      <c r="B541"/>
      <c r="F541" s="18"/>
    </row>
    <row r="542" spans="1:6" ht="16.5" customHeight="1" x14ac:dyDescent="0.3">
      <c r="A542" s="23"/>
      <c r="B542"/>
      <c r="F542" s="18"/>
    </row>
    <row r="543" spans="1:6" ht="16.5" customHeight="1" x14ac:dyDescent="0.3">
      <c r="A543" s="23"/>
      <c r="B543"/>
      <c r="F543" s="18"/>
    </row>
    <row r="544" spans="1:6" ht="16.5" customHeight="1" x14ac:dyDescent="0.3">
      <c r="A544" s="23"/>
      <c r="B544"/>
      <c r="F544" s="18"/>
    </row>
    <row r="545" spans="1:6" ht="16.5" customHeight="1" x14ac:dyDescent="0.3">
      <c r="A545" s="23"/>
      <c r="B545"/>
      <c r="F545" s="18"/>
    </row>
    <row r="546" spans="1:6" ht="16.5" customHeight="1" x14ac:dyDescent="0.3">
      <c r="A546" s="23"/>
      <c r="B546"/>
      <c r="F546" s="18"/>
    </row>
    <row r="547" spans="1:6" ht="16.5" customHeight="1" x14ac:dyDescent="0.3">
      <c r="A547" s="23"/>
      <c r="B547"/>
      <c r="F547" s="18"/>
    </row>
    <row r="548" spans="1:6" ht="16.5" customHeight="1" x14ac:dyDescent="0.3">
      <c r="A548" s="23"/>
      <c r="B548"/>
      <c r="F548" s="18"/>
    </row>
    <row r="549" spans="1:6" ht="16.5" customHeight="1" x14ac:dyDescent="0.3">
      <c r="A549" s="23"/>
      <c r="B549"/>
      <c r="F549" s="18"/>
    </row>
    <row r="550" spans="1:6" ht="16.5" customHeight="1" x14ac:dyDescent="0.3">
      <c r="A550" s="23"/>
      <c r="B550"/>
      <c r="F550" s="18"/>
    </row>
    <row r="551" spans="1:6" ht="16.5" customHeight="1" x14ac:dyDescent="0.3">
      <c r="A551" s="23"/>
      <c r="B551"/>
      <c r="F551" s="18"/>
    </row>
    <row r="552" spans="1:6" ht="16.5" customHeight="1" x14ac:dyDescent="0.3">
      <c r="A552" s="23"/>
      <c r="B552"/>
      <c r="F552" s="18"/>
    </row>
    <row r="553" spans="1:6" ht="16.5" customHeight="1" x14ac:dyDescent="0.3">
      <c r="A553" s="23"/>
      <c r="B553"/>
      <c r="F553" s="18"/>
    </row>
    <row r="554" spans="1:6" ht="16.5" customHeight="1" x14ac:dyDescent="0.3">
      <c r="A554" s="23"/>
      <c r="B554"/>
      <c r="F554" s="18"/>
    </row>
    <row r="555" spans="1:6" ht="16.5" customHeight="1" x14ac:dyDescent="0.3">
      <c r="A555" s="23"/>
      <c r="B555"/>
      <c r="F555" s="18"/>
    </row>
    <row r="556" spans="1:6" ht="16.5" customHeight="1" x14ac:dyDescent="0.3">
      <c r="A556" s="23"/>
      <c r="B556"/>
      <c r="F556" s="18"/>
    </row>
    <row r="557" spans="1:6" ht="16.5" customHeight="1" x14ac:dyDescent="0.3">
      <c r="A557" s="23"/>
      <c r="B557"/>
      <c r="F557" s="19"/>
    </row>
    <row r="558" spans="1:6" ht="16.5" customHeight="1" x14ac:dyDescent="0.3">
      <c r="A558" s="23"/>
      <c r="B558"/>
      <c r="F558" s="19"/>
    </row>
    <row r="559" spans="1:6" ht="16.5" customHeight="1" x14ac:dyDescent="0.3">
      <c r="A559" s="23"/>
      <c r="B559"/>
      <c r="F559" s="19"/>
    </row>
    <row r="560" spans="1:6" ht="16.5" customHeight="1" x14ac:dyDescent="0.3">
      <c r="A560" s="23"/>
      <c r="B560"/>
      <c r="F560" s="19"/>
    </row>
    <row r="561" spans="1:6" ht="16.5" customHeight="1" x14ac:dyDescent="0.3">
      <c r="A561" s="23"/>
      <c r="B561"/>
      <c r="F561" s="19"/>
    </row>
    <row r="562" spans="1:6" ht="16.5" customHeight="1" x14ac:dyDescent="0.3">
      <c r="A562" s="23"/>
      <c r="B562"/>
    </row>
    <row r="563" spans="1:6" ht="16.5" customHeight="1" x14ac:dyDescent="0.3">
      <c r="A563" s="23"/>
      <c r="B563"/>
    </row>
    <row r="564" spans="1:6" ht="16.5" customHeight="1" x14ac:dyDescent="0.3">
      <c r="A564" s="23"/>
      <c r="B564"/>
    </row>
    <row r="565" spans="1:6" ht="16.5" customHeight="1" x14ac:dyDescent="0.3">
      <c r="A565" s="23"/>
      <c r="B565"/>
    </row>
    <row r="566" spans="1:6" ht="16.5" customHeight="1" x14ac:dyDescent="0.3">
      <c r="A566" s="23"/>
      <c r="B566"/>
    </row>
    <row r="567" spans="1:6" ht="16.5" customHeight="1" x14ac:dyDescent="0.3">
      <c r="A567" s="23"/>
      <c r="B567"/>
    </row>
    <row r="568" spans="1:6" ht="16.5" customHeight="1" x14ac:dyDescent="0.3">
      <c r="A568" s="23"/>
      <c r="B568"/>
    </row>
    <row r="569" spans="1:6" ht="16.5" customHeight="1" x14ac:dyDescent="0.3">
      <c r="A569" s="23"/>
      <c r="B569"/>
    </row>
    <row r="570" spans="1:6" ht="16.5" customHeight="1" x14ac:dyDescent="0.3">
      <c r="A570" s="23"/>
      <c r="B570"/>
    </row>
    <row r="571" spans="1:6" ht="16.5" customHeight="1" x14ac:dyDescent="0.3">
      <c r="A571" s="23"/>
      <c r="B571"/>
    </row>
    <row r="572" spans="1:6" ht="16.5" customHeight="1" x14ac:dyDescent="0.3">
      <c r="A572" s="23"/>
      <c r="B572"/>
    </row>
    <row r="573" spans="1:6" ht="16.5" customHeight="1" x14ac:dyDescent="0.3">
      <c r="A573" s="23"/>
      <c r="B573"/>
    </row>
    <row r="574" spans="1:6" ht="16.5" customHeight="1" x14ac:dyDescent="0.3">
      <c r="A574" s="23"/>
      <c r="B574"/>
    </row>
    <row r="575" spans="1:6" ht="16.5" customHeight="1" x14ac:dyDescent="0.3">
      <c r="A575" s="23"/>
      <c r="B575"/>
    </row>
    <row r="576" spans="1:6" ht="16.5" customHeight="1" x14ac:dyDescent="0.3">
      <c r="A576" s="23"/>
      <c r="B576"/>
    </row>
    <row r="577" spans="1:2" ht="16.5" customHeight="1" x14ac:dyDescent="0.3">
      <c r="A577" s="23"/>
      <c r="B577"/>
    </row>
    <row r="578" spans="1:2" ht="16.5" customHeight="1" x14ac:dyDescent="0.3">
      <c r="A578" s="23"/>
      <c r="B578"/>
    </row>
    <row r="579" spans="1:2" ht="16.5" customHeight="1" x14ac:dyDescent="0.3">
      <c r="A579" s="23"/>
      <c r="B579"/>
    </row>
    <row r="580" spans="1:2" ht="16.5" customHeight="1" x14ac:dyDescent="0.3">
      <c r="A580" s="23"/>
      <c r="B580"/>
    </row>
    <row r="581" spans="1:2" ht="16.5" customHeight="1" x14ac:dyDescent="0.3">
      <c r="A581" s="23"/>
      <c r="B581"/>
    </row>
    <row r="582" spans="1:2" ht="16.5" customHeight="1" x14ac:dyDescent="0.3">
      <c r="A582" s="23"/>
      <c r="B582"/>
    </row>
    <row r="583" spans="1:2" ht="16.5" customHeight="1" x14ac:dyDescent="0.3">
      <c r="A583" s="23"/>
      <c r="B583"/>
    </row>
    <row r="584" spans="1:2" ht="16.5" customHeight="1" x14ac:dyDescent="0.3">
      <c r="A584" s="23"/>
      <c r="B584"/>
    </row>
    <row r="585" spans="1:2" ht="16.5" customHeight="1" x14ac:dyDescent="0.3">
      <c r="A585" s="23"/>
      <c r="B585"/>
    </row>
    <row r="586" spans="1:2" ht="16.5" customHeight="1" x14ac:dyDescent="0.3">
      <c r="A586" s="23"/>
      <c r="B586"/>
    </row>
    <row r="587" spans="1:2" ht="16.5" customHeight="1" x14ac:dyDescent="0.3">
      <c r="A587" s="23"/>
      <c r="B587"/>
    </row>
    <row r="588" spans="1:2" ht="16.5" customHeight="1" x14ac:dyDescent="0.3">
      <c r="A588" s="23"/>
      <c r="B588"/>
    </row>
    <row r="589" spans="1:2" ht="16.5" customHeight="1" x14ac:dyDescent="0.3">
      <c r="A589" s="23"/>
      <c r="B589"/>
    </row>
    <row r="590" spans="1:2" ht="16.5" customHeight="1" x14ac:dyDescent="0.3">
      <c r="A590" s="23"/>
      <c r="B590"/>
    </row>
    <row r="591" spans="1:2" ht="16.5" customHeight="1" x14ac:dyDescent="0.3">
      <c r="A591" s="23"/>
      <c r="B591"/>
    </row>
    <row r="592" spans="1:2" ht="16.5" customHeight="1" x14ac:dyDescent="0.3">
      <c r="A592" s="23"/>
      <c r="B592"/>
    </row>
    <row r="593" spans="1:2" ht="16.5" customHeight="1" x14ac:dyDescent="0.3">
      <c r="A593" s="23"/>
      <c r="B593"/>
    </row>
    <row r="594" spans="1:2" ht="16.5" customHeight="1" x14ac:dyDescent="0.3">
      <c r="A594" s="23"/>
      <c r="B594"/>
    </row>
    <row r="595" spans="1:2" ht="16.5" customHeight="1" x14ac:dyDescent="0.3">
      <c r="A595" s="23"/>
      <c r="B595"/>
    </row>
    <row r="596" spans="1:2" ht="16.5" customHeight="1" x14ac:dyDescent="0.3">
      <c r="A596" s="23"/>
      <c r="B596"/>
    </row>
    <row r="597" spans="1:2" ht="16.5" customHeight="1" x14ac:dyDescent="0.3">
      <c r="A597" s="23"/>
      <c r="B597"/>
    </row>
    <row r="598" spans="1:2" ht="16.5" customHeight="1" x14ac:dyDescent="0.3">
      <c r="A598" s="23"/>
      <c r="B598"/>
    </row>
    <row r="599" spans="1:2" ht="16.5" customHeight="1" x14ac:dyDescent="0.3">
      <c r="A599" s="23"/>
      <c r="B599"/>
    </row>
    <row r="600" spans="1:2" ht="16.5" customHeight="1" x14ac:dyDescent="0.3">
      <c r="A600" s="23"/>
      <c r="B600"/>
    </row>
    <row r="601" spans="1:2" ht="16.5" customHeight="1" x14ac:dyDescent="0.3">
      <c r="A601" s="23"/>
      <c r="B601"/>
    </row>
    <row r="602" spans="1:2" ht="16.5" customHeight="1" x14ac:dyDescent="0.3">
      <c r="A602" s="23"/>
      <c r="B602"/>
    </row>
    <row r="603" spans="1:2" ht="16.5" customHeight="1" x14ac:dyDescent="0.3">
      <c r="A603" s="23"/>
      <c r="B603"/>
    </row>
    <row r="604" spans="1:2" ht="16.5" customHeight="1" x14ac:dyDescent="0.3">
      <c r="A604" s="23"/>
      <c r="B604"/>
    </row>
    <row r="605" spans="1:2" ht="16.5" customHeight="1" x14ac:dyDescent="0.3">
      <c r="A605" s="23"/>
      <c r="B605"/>
    </row>
    <row r="606" spans="1:2" ht="16.5" customHeight="1" x14ac:dyDescent="0.3">
      <c r="A606" s="23"/>
      <c r="B606"/>
    </row>
    <row r="607" spans="1:2" ht="16.5" customHeight="1" x14ac:dyDescent="0.3">
      <c r="A607" s="23"/>
      <c r="B607"/>
    </row>
    <row r="608" spans="1:2" ht="16.5" customHeight="1" x14ac:dyDescent="0.3">
      <c r="A608" s="23"/>
      <c r="B608"/>
    </row>
    <row r="609" spans="1:2" ht="16.5" customHeight="1" x14ac:dyDescent="0.3">
      <c r="A609" s="23"/>
      <c r="B609"/>
    </row>
    <row r="610" spans="1:2" ht="16.5" customHeight="1" x14ac:dyDescent="0.3">
      <c r="A610" s="23"/>
      <c r="B610"/>
    </row>
    <row r="611" spans="1:2" ht="16.5" customHeight="1" x14ac:dyDescent="0.3">
      <c r="A611" s="23"/>
      <c r="B611"/>
    </row>
    <row r="612" spans="1:2" ht="16.5" customHeight="1" x14ac:dyDescent="0.3">
      <c r="A612" s="23"/>
      <c r="B612"/>
    </row>
    <row r="613" spans="1:2" ht="16.5" customHeight="1" x14ac:dyDescent="0.3">
      <c r="A613" s="23"/>
      <c r="B613"/>
    </row>
    <row r="614" spans="1:2" ht="16.5" customHeight="1" x14ac:dyDescent="0.3">
      <c r="A614" s="23"/>
      <c r="B614"/>
    </row>
    <row r="615" spans="1:2" ht="16.5" customHeight="1" x14ac:dyDescent="0.3">
      <c r="A615" s="23"/>
      <c r="B615"/>
    </row>
    <row r="616" spans="1:2" ht="16.5" customHeight="1" x14ac:dyDescent="0.3">
      <c r="A616" s="23"/>
      <c r="B616"/>
    </row>
    <row r="617" spans="1:2" ht="16.5" customHeight="1" x14ac:dyDescent="0.3">
      <c r="A617" s="23"/>
      <c r="B617"/>
    </row>
    <row r="618" spans="1:2" ht="16.5" customHeight="1" x14ac:dyDescent="0.3">
      <c r="A618" s="23"/>
      <c r="B618"/>
    </row>
    <row r="619" spans="1:2" ht="16.5" customHeight="1" x14ac:dyDescent="0.3">
      <c r="A619" s="23"/>
      <c r="B619"/>
    </row>
    <row r="620" spans="1:2" ht="16.5" customHeight="1" x14ac:dyDescent="0.3">
      <c r="A620" s="23"/>
      <c r="B620"/>
    </row>
    <row r="621" spans="1:2" ht="16.5" customHeight="1" x14ac:dyDescent="0.3">
      <c r="A621" s="23"/>
      <c r="B621"/>
    </row>
    <row r="622" spans="1:2" ht="16.5" customHeight="1" x14ac:dyDescent="0.3">
      <c r="A622" s="23"/>
      <c r="B622"/>
    </row>
    <row r="623" spans="1:2" ht="16.5" customHeight="1" x14ac:dyDescent="0.3">
      <c r="A623" s="23"/>
      <c r="B623"/>
    </row>
    <row r="624" spans="1:2" ht="16.5" customHeight="1" x14ac:dyDescent="0.3">
      <c r="A624" s="23"/>
      <c r="B624"/>
    </row>
    <row r="625" spans="1:2" ht="16.5" customHeight="1" x14ac:dyDescent="0.3">
      <c r="A625" s="23"/>
      <c r="B625"/>
    </row>
    <row r="626" spans="1:2" ht="16.5" customHeight="1" x14ac:dyDescent="0.3">
      <c r="A626" s="23"/>
      <c r="B626"/>
    </row>
    <row r="627" spans="1:2" ht="16.5" customHeight="1" x14ac:dyDescent="0.3">
      <c r="A627" s="23"/>
      <c r="B627"/>
    </row>
    <row r="628" spans="1:2" ht="16.5" customHeight="1" x14ac:dyDescent="0.3">
      <c r="A628" s="23"/>
      <c r="B628"/>
    </row>
    <row r="629" spans="1:2" ht="16.5" customHeight="1" x14ac:dyDescent="0.3">
      <c r="A629" s="23"/>
      <c r="B629"/>
    </row>
    <row r="630" spans="1:2" ht="16.5" customHeight="1" x14ac:dyDescent="0.3">
      <c r="A630" s="23"/>
      <c r="B630"/>
    </row>
    <row r="631" spans="1:2" ht="16.5" customHeight="1" x14ac:dyDescent="0.3">
      <c r="A631" s="23"/>
      <c r="B631"/>
    </row>
    <row r="632" spans="1:2" ht="16.5" customHeight="1" x14ac:dyDescent="0.3">
      <c r="A632" s="23"/>
      <c r="B632"/>
    </row>
    <row r="633" spans="1:2" ht="16.5" customHeight="1" x14ac:dyDescent="0.3">
      <c r="A633" s="23"/>
      <c r="B633"/>
    </row>
    <row r="634" spans="1:2" ht="16.5" customHeight="1" x14ac:dyDescent="0.3">
      <c r="A634" s="23"/>
      <c r="B634"/>
    </row>
    <row r="635" spans="1:2" ht="16.5" customHeight="1" x14ac:dyDescent="0.3">
      <c r="A635" s="23"/>
      <c r="B635"/>
    </row>
    <row r="636" spans="1:2" ht="16.5" customHeight="1" x14ac:dyDescent="0.3">
      <c r="A636" s="23"/>
      <c r="B636"/>
    </row>
    <row r="637" spans="1:2" ht="16.5" customHeight="1" x14ac:dyDescent="0.3">
      <c r="A637" s="23"/>
      <c r="B637"/>
    </row>
    <row r="638" spans="1:2" ht="16.5" customHeight="1" x14ac:dyDescent="0.3">
      <c r="A638" s="23"/>
      <c r="B638"/>
    </row>
    <row r="639" spans="1:2" ht="16.5" customHeight="1" x14ac:dyDescent="0.3">
      <c r="A639" s="23"/>
      <c r="B639"/>
    </row>
    <row r="640" spans="1:2" ht="16.5" customHeight="1" x14ac:dyDescent="0.3">
      <c r="A640" s="23"/>
      <c r="B640"/>
    </row>
    <row r="641" spans="1:2" ht="16.5" customHeight="1" x14ac:dyDescent="0.3">
      <c r="A641" s="23"/>
      <c r="B641"/>
    </row>
    <row r="642" spans="1:2" ht="16.5" customHeight="1" x14ac:dyDescent="0.3">
      <c r="A642" s="23"/>
      <c r="B642"/>
    </row>
    <row r="643" spans="1:2" ht="16.5" customHeight="1" x14ac:dyDescent="0.3">
      <c r="A643" s="23"/>
      <c r="B643"/>
    </row>
    <row r="644" spans="1:2" ht="16.5" customHeight="1" x14ac:dyDescent="0.3">
      <c r="A644" s="23"/>
      <c r="B644"/>
    </row>
    <row r="645" spans="1:2" ht="16.5" customHeight="1" x14ac:dyDescent="0.3">
      <c r="A645" s="23"/>
      <c r="B645"/>
    </row>
    <row r="646" spans="1:2" ht="16.5" customHeight="1" x14ac:dyDescent="0.3">
      <c r="A646" s="23"/>
      <c r="B646"/>
    </row>
    <row r="647" spans="1:2" ht="16.5" customHeight="1" x14ac:dyDescent="0.3">
      <c r="A647" s="23"/>
      <c r="B647"/>
    </row>
    <row r="648" spans="1:2" ht="16.5" customHeight="1" x14ac:dyDescent="0.3">
      <c r="A648" s="23"/>
      <c r="B648"/>
    </row>
    <row r="649" spans="1:2" ht="16.5" customHeight="1" x14ac:dyDescent="0.3">
      <c r="A649" s="23"/>
      <c r="B649"/>
    </row>
    <row r="650" spans="1:2" ht="16.5" customHeight="1" x14ac:dyDescent="0.3">
      <c r="A650" s="23"/>
      <c r="B650"/>
    </row>
    <row r="651" spans="1:2" ht="16.5" customHeight="1" x14ac:dyDescent="0.3">
      <c r="A651" s="23"/>
      <c r="B651"/>
    </row>
    <row r="652" spans="1:2" ht="16.5" customHeight="1" x14ac:dyDescent="0.3">
      <c r="A652" s="23"/>
      <c r="B652"/>
    </row>
    <row r="653" spans="1:2" ht="16.5" customHeight="1" x14ac:dyDescent="0.3">
      <c r="A653" s="23"/>
      <c r="B653"/>
    </row>
    <row r="654" spans="1:2" ht="16.5" customHeight="1" x14ac:dyDescent="0.3">
      <c r="A654" s="23"/>
      <c r="B654"/>
    </row>
    <row r="655" spans="1:2" ht="16.5" customHeight="1" x14ac:dyDescent="0.3">
      <c r="A655" s="23"/>
      <c r="B655"/>
    </row>
    <row r="656" spans="1:2" ht="16.5" customHeight="1" x14ac:dyDescent="0.3">
      <c r="A656" s="23"/>
      <c r="B656"/>
    </row>
    <row r="657" spans="1:2" ht="16.5" customHeight="1" x14ac:dyDescent="0.3">
      <c r="A657" s="23"/>
      <c r="B657"/>
    </row>
    <row r="658" spans="1:2" ht="16.5" customHeight="1" x14ac:dyDescent="0.3">
      <c r="A658" s="23"/>
      <c r="B658"/>
    </row>
    <row r="659" spans="1:2" ht="16.5" customHeight="1" x14ac:dyDescent="0.3">
      <c r="A659" s="23"/>
      <c r="B659"/>
    </row>
    <row r="660" spans="1:2" ht="16.5" customHeight="1" x14ac:dyDescent="0.3">
      <c r="A660" s="23"/>
      <c r="B660"/>
    </row>
    <row r="661" spans="1:2" ht="16.5" customHeight="1" x14ac:dyDescent="0.3">
      <c r="A661" s="23"/>
      <c r="B661"/>
    </row>
    <row r="662" spans="1:2" ht="16.5" customHeight="1" x14ac:dyDescent="0.3">
      <c r="A662" s="23"/>
      <c r="B662"/>
    </row>
    <row r="663" spans="1:2" ht="16.5" customHeight="1" x14ac:dyDescent="0.3">
      <c r="A663" s="23"/>
      <c r="B663"/>
    </row>
    <row r="664" spans="1:2" ht="16.5" customHeight="1" x14ac:dyDescent="0.3">
      <c r="A664" s="23"/>
      <c r="B664"/>
    </row>
    <row r="665" spans="1:2" ht="16.5" customHeight="1" x14ac:dyDescent="0.3">
      <c r="A665" s="23"/>
      <c r="B665"/>
    </row>
    <row r="666" spans="1:2" ht="16.5" customHeight="1" x14ac:dyDescent="0.3">
      <c r="A666" s="23"/>
      <c r="B666"/>
    </row>
    <row r="667" spans="1:2" ht="16.5" customHeight="1" x14ac:dyDescent="0.3">
      <c r="A667" s="23"/>
      <c r="B667"/>
    </row>
    <row r="668" spans="1:2" ht="16.5" customHeight="1" x14ac:dyDescent="0.3">
      <c r="A668" s="23"/>
      <c r="B668"/>
    </row>
    <row r="669" spans="1:2" ht="16.5" customHeight="1" x14ac:dyDescent="0.3">
      <c r="A669" s="23"/>
      <c r="B669"/>
    </row>
    <row r="670" spans="1:2" ht="16.5" customHeight="1" x14ac:dyDescent="0.3">
      <c r="A670" s="23"/>
      <c r="B670"/>
    </row>
    <row r="671" spans="1:2" ht="16.5" customHeight="1" x14ac:dyDescent="0.3">
      <c r="A671" s="23"/>
      <c r="B671"/>
    </row>
    <row r="672" spans="1:2" ht="16.5" customHeight="1" x14ac:dyDescent="0.3">
      <c r="A672" s="23"/>
      <c r="B672"/>
    </row>
    <row r="673" spans="1:2" ht="16.5" customHeight="1" x14ac:dyDescent="0.3">
      <c r="A673" s="23"/>
      <c r="B673"/>
    </row>
    <row r="674" spans="1:2" ht="16.5" customHeight="1" x14ac:dyDescent="0.3">
      <c r="A674" s="23"/>
      <c r="B674"/>
    </row>
    <row r="675" spans="1:2" ht="16.5" customHeight="1" x14ac:dyDescent="0.3">
      <c r="A675" s="23"/>
      <c r="B675"/>
    </row>
    <row r="676" spans="1:2" ht="16.5" customHeight="1" x14ac:dyDescent="0.3">
      <c r="A676" s="23"/>
      <c r="B676"/>
    </row>
    <row r="677" spans="1:2" ht="16.5" customHeight="1" x14ac:dyDescent="0.3">
      <c r="A677" s="23"/>
      <c r="B677"/>
    </row>
    <row r="678" spans="1:2" ht="16.5" customHeight="1" x14ac:dyDescent="0.3">
      <c r="A678" s="23"/>
      <c r="B678"/>
    </row>
    <row r="679" spans="1:2" ht="16.5" customHeight="1" x14ac:dyDescent="0.3">
      <c r="A679" s="23"/>
      <c r="B679"/>
    </row>
    <row r="680" spans="1:2" ht="16.5" customHeight="1" x14ac:dyDescent="0.3">
      <c r="A680" s="23"/>
      <c r="B680"/>
    </row>
    <row r="681" spans="1:2" ht="16.5" customHeight="1" x14ac:dyDescent="0.3">
      <c r="A681" s="23"/>
      <c r="B681"/>
    </row>
    <row r="682" spans="1:2" ht="16.5" customHeight="1" x14ac:dyDescent="0.3">
      <c r="A682" s="23"/>
      <c r="B682"/>
    </row>
    <row r="683" spans="1:2" ht="16.5" customHeight="1" x14ac:dyDescent="0.3">
      <c r="A683" s="23"/>
      <c r="B683"/>
    </row>
    <row r="684" spans="1:2" ht="16.5" customHeight="1" x14ac:dyDescent="0.3">
      <c r="A684" s="23"/>
      <c r="B684"/>
    </row>
    <row r="685" spans="1:2" ht="16.5" customHeight="1" x14ac:dyDescent="0.3">
      <c r="A685" s="23"/>
      <c r="B685"/>
    </row>
    <row r="686" spans="1:2" ht="16.5" customHeight="1" x14ac:dyDescent="0.3">
      <c r="A686" s="23"/>
      <c r="B686"/>
    </row>
    <row r="687" spans="1:2" ht="16.5" customHeight="1" x14ac:dyDescent="0.3">
      <c r="A687" s="23"/>
      <c r="B687"/>
    </row>
    <row r="688" spans="1:2" ht="16.5" customHeight="1" x14ac:dyDescent="0.3">
      <c r="A688" s="23"/>
      <c r="B688"/>
    </row>
    <row r="689" spans="1:2" ht="16.5" customHeight="1" x14ac:dyDescent="0.3">
      <c r="A689" s="23"/>
      <c r="B689"/>
    </row>
    <row r="690" spans="1:2" ht="16.5" customHeight="1" x14ac:dyDescent="0.3">
      <c r="A690" s="23"/>
      <c r="B690"/>
    </row>
    <row r="691" spans="1:2" ht="16.5" customHeight="1" x14ac:dyDescent="0.3">
      <c r="A691" s="23"/>
      <c r="B691"/>
    </row>
    <row r="692" spans="1:2" ht="16.5" customHeight="1" x14ac:dyDescent="0.3">
      <c r="A692" s="23"/>
      <c r="B692"/>
    </row>
    <row r="693" spans="1:2" ht="16.5" customHeight="1" x14ac:dyDescent="0.3">
      <c r="A693" s="23"/>
      <c r="B693"/>
    </row>
    <row r="694" spans="1:2" ht="16.5" customHeight="1" x14ac:dyDescent="0.3">
      <c r="A694" s="23"/>
      <c r="B694"/>
    </row>
    <row r="695" spans="1:2" ht="16.5" customHeight="1" x14ac:dyDescent="0.3">
      <c r="A695" s="23"/>
      <c r="B695"/>
    </row>
    <row r="696" spans="1:2" ht="16.5" customHeight="1" x14ac:dyDescent="0.3">
      <c r="A696" s="23"/>
      <c r="B696"/>
    </row>
    <row r="697" spans="1:2" ht="16.5" customHeight="1" x14ac:dyDescent="0.3">
      <c r="A697" s="23"/>
      <c r="B697"/>
    </row>
    <row r="698" spans="1:2" ht="16.5" customHeight="1" x14ac:dyDescent="0.3">
      <c r="A698" s="23"/>
      <c r="B698"/>
    </row>
    <row r="699" spans="1:2" ht="16.5" customHeight="1" x14ac:dyDescent="0.3">
      <c r="A699" s="23"/>
      <c r="B699"/>
    </row>
    <row r="700" spans="1:2" ht="16.5" customHeight="1" x14ac:dyDescent="0.3">
      <c r="A700" s="23"/>
      <c r="B700"/>
    </row>
    <row r="701" spans="1:2" ht="16.5" customHeight="1" x14ac:dyDescent="0.3">
      <c r="A701" s="23"/>
      <c r="B701"/>
    </row>
    <row r="702" spans="1:2" ht="16.5" customHeight="1" x14ac:dyDescent="0.3">
      <c r="A702" s="23"/>
      <c r="B702"/>
    </row>
    <row r="703" spans="1:2" ht="16.5" customHeight="1" x14ac:dyDescent="0.3">
      <c r="A703" s="23"/>
      <c r="B703"/>
    </row>
    <row r="704" spans="1:2" ht="16.5" customHeight="1" x14ac:dyDescent="0.3">
      <c r="A704" s="23"/>
      <c r="B704"/>
    </row>
    <row r="705" spans="1:2" ht="16.5" customHeight="1" x14ac:dyDescent="0.3">
      <c r="A705" s="23"/>
      <c r="B705"/>
    </row>
    <row r="706" spans="1:2" ht="16.5" customHeight="1" x14ac:dyDescent="0.3">
      <c r="A706" s="23"/>
      <c r="B706"/>
    </row>
    <row r="707" spans="1:2" ht="16.5" customHeight="1" x14ac:dyDescent="0.3">
      <c r="A707" s="23"/>
      <c r="B707"/>
    </row>
    <row r="708" spans="1:2" ht="16.5" customHeight="1" x14ac:dyDescent="0.3">
      <c r="A708" s="23"/>
      <c r="B708"/>
    </row>
    <row r="709" spans="1:2" ht="16.5" customHeight="1" x14ac:dyDescent="0.3">
      <c r="A709" s="23"/>
      <c r="B709"/>
    </row>
    <row r="710" spans="1:2" ht="16.5" customHeight="1" x14ac:dyDescent="0.3">
      <c r="A710" s="23"/>
      <c r="B710"/>
    </row>
    <row r="711" spans="1:2" ht="16.5" customHeight="1" x14ac:dyDescent="0.3">
      <c r="A711" s="23"/>
      <c r="B711"/>
    </row>
    <row r="712" spans="1:2" ht="16.5" customHeight="1" x14ac:dyDescent="0.3">
      <c r="A712" s="23"/>
      <c r="B712"/>
    </row>
    <row r="713" spans="1:2" ht="16.5" customHeight="1" x14ac:dyDescent="0.3">
      <c r="A713" s="23"/>
      <c r="B713"/>
    </row>
    <row r="714" spans="1:2" ht="16.5" customHeight="1" x14ac:dyDescent="0.3">
      <c r="A714" s="23"/>
      <c r="B714"/>
    </row>
    <row r="715" spans="1:2" ht="16.5" customHeight="1" x14ac:dyDescent="0.3">
      <c r="A715" s="23"/>
      <c r="B715"/>
    </row>
    <row r="716" spans="1:2" ht="16.5" customHeight="1" x14ac:dyDescent="0.3">
      <c r="A716" s="23"/>
      <c r="B716"/>
    </row>
    <row r="717" spans="1:2" ht="16.5" customHeight="1" x14ac:dyDescent="0.3">
      <c r="A717" s="23"/>
      <c r="B717"/>
    </row>
    <row r="718" spans="1:2" ht="16.5" customHeight="1" x14ac:dyDescent="0.3">
      <c r="A718" s="23"/>
      <c r="B718"/>
    </row>
    <row r="719" spans="1:2" ht="16.5" customHeight="1" x14ac:dyDescent="0.3">
      <c r="A719" s="23"/>
      <c r="B719"/>
    </row>
    <row r="720" spans="1:2" ht="16.5" customHeight="1" x14ac:dyDescent="0.3">
      <c r="A720" s="23"/>
      <c r="B720"/>
    </row>
    <row r="721" spans="1:2" ht="16.5" customHeight="1" x14ac:dyDescent="0.3">
      <c r="A721" s="23"/>
      <c r="B721"/>
    </row>
    <row r="722" spans="1:2" ht="16.5" customHeight="1" x14ac:dyDescent="0.3">
      <c r="A722" s="23"/>
      <c r="B722"/>
    </row>
    <row r="723" spans="1:2" ht="16.5" customHeight="1" x14ac:dyDescent="0.3">
      <c r="A723" s="23"/>
      <c r="B723"/>
    </row>
    <row r="724" spans="1:2" ht="16.5" customHeight="1" x14ac:dyDescent="0.3">
      <c r="A724" s="23"/>
      <c r="B724"/>
    </row>
    <row r="725" spans="1:2" ht="16.5" customHeight="1" x14ac:dyDescent="0.3">
      <c r="A725" s="23"/>
      <c r="B725"/>
    </row>
    <row r="726" spans="1:2" ht="16.5" customHeight="1" x14ac:dyDescent="0.3">
      <c r="A726" s="23"/>
      <c r="B726"/>
    </row>
    <row r="727" spans="1:2" ht="16.5" customHeight="1" x14ac:dyDescent="0.3">
      <c r="A727" s="23"/>
      <c r="B727"/>
    </row>
    <row r="728" spans="1:2" ht="16.5" customHeight="1" x14ac:dyDescent="0.3">
      <c r="A728" s="23"/>
      <c r="B728"/>
    </row>
    <row r="729" spans="1:2" ht="16.5" customHeight="1" x14ac:dyDescent="0.3">
      <c r="A729" s="23"/>
      <c r="B729"/>
    </row>
    <row r="730" spans="1:2" ht="16.5" customHeight="1" x14ac:dyDescent="0.3">
      <c r="A730" s="23"/>
      <c r="B730"/>
    </row>
    <row r="731" spans="1:2" ht="16.5" customHeight="1" x14ac:dyDescent="0.3">
      <c r="A731" s="23"/>
      <c r="B731"/>
    </row>
    <row r="732" spans="1:2" ht="16.5" customHeight="1" x14ac:dyDescent="0.3">
      <c r="A732" s="23"/>
      <c r="B732"/>
    </row>
    <row r="733" spans="1:2" ht="16.5" customHeight="1" x14ac:dyDescent="0.3">
      <c r="A733" s="23"/>
      <c r="B733"/>
    </row>
    <row r="734" spans="1:2" ht="16.5" customHeight="1" x14ac:dyDescent="0.3">
      <c r="A734" s="23"/>
      <c r="B734"/>
    </row>
    <row r="735" spans="1:2" ht="16.5" customHeight="1" x14ac:dyDescent="0.3">
      <c r="A735" s="23"/>
      <c r="B735"/>
    </row>
    <row r="736" spans="1:2" ht="16.5" customHeight="1" x14ac:dyDescent="0.3">
      <c r="A736" s="23"/>
      <c r="B736"/>
    </row>
    <row r="737" spans="1:2" ht="16.5" customHeight="1" x14ac:dyDescent="0.3">
      <c r="A737" s="23"/>
      <c r="B737"/>
    </row>
    <row r="738" spans="1:2" ht="16.5" customHeight="1" x14ac:dyDescent="0.3">
      <c r="A738" s="23"/>
      <c r="B738"/>
    </row>
    <row r="739" spans="1:2" ht="16.5" customHeight="1" x14ac:dyDescent="0.3">
      <c r="A739" s="23"/>
      <c r="B739"/>
    </row>
    <row r="740" spans="1:2" ht="16.5" customHeight="1" x14ac:dyDescent="0.3">
      <c r="A740" s="23"/>
      <c r="B740"/>
    </row>
    <row r="741" spans="1:2" ht="16.5" customHeight="1" x14ac:dyDescent="0.3">
      <c r="A741" s="23"/>
      <c r="B741"/>
    </row>
    <row r="742" spans="1:2" ht="16.5" customHeight="1" x14ac:dyDescent="0.3">
      <c r="A742" s="23"/>
      <c r="B742"/>
    </row>
    <row r="743" spans="1:2" ht="16.5" customHeight="1" x14ac:dyDescent="0.3">
      <c r="A743" s="23"/>
      <c r="B743"/>
    </row>
    <row r="744" spans="1:2" ht="16.5" customHeight="1" x14ac:dyDescent="0.3">
      <c r="A744" s="23"/>
      <c r="B744"/>
    </row>
    <row r="745" spans="1:2" ht="16.5" customHeight="1" x14ac:dyDescent="0.3">
      <c r="A745" s="23"/>
      <c r="B745"/>
    </row>
    <row r="746" spans="1:2" ht="16.5" customHeight="1" x14ac:dyDescent="0.3">
      <c r="A746" s="23"/>
      <c r="B746"/>
    </row>
    <row r="747" spans="1:2" ht="16.5" customHeight="1" x14ac:dyDescent="0.3">
      <c r="A747" s="23"/>
      <c r="B747"/>
    </row>
    <row r="748" spans="1:2" ht="16.5" customHeight="1" x14ac:dyDescent="0.3">
      <c r="A748" s="23"/>
      <c r="B748"/>
    </row>
    <row r="749" spans="1:2" ht="16.5" customHeight="1" x14ac:dyDescent="0.3">
      <c r="A749" s="23"/>
      <c r="B749"/>
    </row>
    <row r="750" spans="1:2" ht="16.5" customHeight="1" x14ac:dyDescent="0.3">
      <c r="A750" s="23"/>
      <c r="B750"/>
    </row>
    <row r="751" spans="1:2" ht="16.5" customHeight="1" x14ac:dyDescent="0.3">
      <c r="A751" s="23"/>
      <c r="B751"/>
    </row>
    <row r="752" spans="1:2" ht="16.5" customHeight="1" x14ac:dyDescent="0.3">
      <c r="A752" s="23"/>
      <c r="B752"/>
    </row>
    <row r="753" spans="1:2" ht="16.5" customHeight="1" x14ac:dyDescent="0.3">
      <c r="A753" s="23"/>
      <c r="B753"/>
    </row>
    <row r="754" spans="1:2" ht="16.5" customHeight="1" x14ac:dyDescent="0.3">
      <c r="A754" s="23"/>
      <c r="B754"/>
    </row>
    <row r="755" spans="1:2" ht="16.5" customHeight="1" x14ac:dyDescent="0.3">
      <c r="A755" s="23"/>
      <c r="B755"/>
    </row>
    <row r="756" spans="1:2" ht="16.5" customHeight="1" x14ac:dyDescent="0.3">
      <c r="A756" s="23"/>
      <c r="B756"/>
    </row>
    <row r="757" spans="1:2" ht="16.5" customHeight="1" x14ac:dyDescent="0.3">
      <c r="A757" s="23"/>
      <c r="B757"/>
    </row>
    <row r="758" spans="1:2" ht="16.5" customHeight="1" x14ac:dyDescent="0.3">
      <c r="A758" s="23"/>
      <c r="B758"/>
    </row>
    <row r="759" spans="1:2" ht="16.5" customHeight="1" x14ac:dyDescent="0.3">
      <c r="A759" s="23"/>
      <c r="B759"/>
    </row>
    <row r="760" spans="1:2" ht="16.5" customHeight="1" x14ac:dyDescent="0.3">
      <c r="A760" s="23"/>
      <c r="B760"/>
    </row>
    <row r="761" spans="1:2" ht="16.5" customHeight="1" x14ac:dyDescent="0.3">
      <c r="A761" s="23"/>
      <c r="B761"/>
    </row>
    <row r="762" spans="1:2" ht="16.5" customHeight="1" x14ac:dyDescent="0.3">
      <c r="A762" s="23"/>
      <c r="B762"/>
    </row>
    <row r="763" spans="1:2" ht="16.5" customHeight="1" x14ac:dyDescent="0.3">
      <c r="A763" s="23"/>
      <c r="B763"/>
    </row>
    <row r="764" spans="1:2" ht="16.5" customHeight="1" x14ac:dyDescent="0.3">
      <c r="A764" s="23"/>
      <c r="B764"/>
    </row>
    <row r="765" spans="1:2" ht="16.5" customHeight="1" x14ac:dyDescent="0.3">
      <c r="A765" s="23"/>
      <c r="B765"/>
    </row>
    <row r="766" spans="1:2" ht="16.5" customHeight="1" x14ac:dyDescent="0.3">
      <c r="A766" s="23"/>
      <c r="B766"/>
    </row>
    <row r="767" spans="1:2" ht="16.5" customHeight="1" x14ac:dyDescent="0.3">
      <c r="A767" s="23"/>
      <c r="B767"/>
    </row>
    <row r="768" spans="1:2" ht="16.5" customHeight="1" x14ac:dyDescent="0.3">
      <c r="A768" s="23"/>
      <c r="B768"/>
    </row>
    <row r="769" spans="1:2" ht="16.5" customHeight="1" x14ac:dyDescent="0.3">
      <c r="A769" s="23"/>
      <c r="B769"/>
    </row>
    <row r="770" spans="1:2" ht="16.5" customHeight="1" x14ac:dyDescent="0.3">
      <c r="A770" s="23"/>
      <c r="B770"/>
    </row>
    <row r="771" spans="1:2" ht="16.5" customHeight="1" x14ac:dyDescent="0.3">
      <c r="A771" s="23"/>
      <c r="B771"/>
    </row>
    <row r="772" spans="1:2" ht="16.5" customHeight="1" x14ac:dyDescent="0.3">
      <c r="A772" s="23"/>
      <c r="B772"/>
    </row>
    <row r="773" spans="1:2" ht="16.5" customHeight="1" x14ac:dyDescent="0.3">
      <c r="A773" s="23"/>
      <c r="B773"/>
    </row>
    <row r="774" spans="1:2" ht="16.5" customHeight="1" x14ac:dyDescent="0.3">
      <c r="A774" s="23"/>
      <c r="B774"/>
    </row>
    <row r="775" spans="1:2" ht="16.5" customHeight="1" x14ac:dyDescent="0.3">
      <c r="A775" s="23"/>
      <c r="B775"/>
    </row>
    <row r="776" spans="1:2" ht="16.5" customHeight="1" x14ac:dyDescent="0.3">
      <c r="A776" s="23"/>
      <c r="B776"/>
    </row>
    <row r="777" spans="1:2" ht="16.5" customHeight="1" x14ac:dyDescent="0.3">
      <c r="A777" s="23"/>
      <c r="B777"/>
    </row>
    <row r="778" spans="1:2" ht="16.5" customHeight="1" x14ac:dyDescent="0.3">
      <c r="A778" s="23"/>
      <c r="B778"/>
    </row>
    <row r="779" spans="1:2" ht="16.5" customHeight="1" x14ac:dyDescent="0.3">
      <c r="A779" s="23"/>
      <c r="B779"/>
    </row>
    <row r="780" spans="1:2" ht="16.5" customHeight="1" x14ac:dyDescent="0.3">
      <c r="A780" s="23"/>
      <c r="B780"/>
    </row>
    <row r="781" spans="1:2" ht="16.5" customHeight="1" x14ac:dyDescent="0.3">
      <c r="A781" s="23"/>
      <c r="B781"/>
    </row>
    <row r="782" spans="1:2" ht="16.5" customHeight="1" x14ac:dyDescent="0.3">
      <c r="A782" s="23"/>
      <c r="B782"/>
    </row>
    <row r="783" spans="1:2" ht="16.5" customHeight="1" x14ac:dyDescent="0.3">
      <c r="A783" s="23"/>
      <c r="B783"/>
    </row>
    <row r="784" spans="1:2" ht="16.5" customHeight="1" x14ac:dyDescent="0.3">
      <c r="A784" s="23"/>
      <c r="B784"/>
    </row>
    <row r="785" spans="1:2" ht="16.5" customHeight="1" x14ac:dyDescent="0.3">
      <c r="A785" s="23"/>
      <c r="B785"/>
    </row>
    <row r="786" spans="1:2" ht="16.5" customHeight="1" x14ac:dyDescent="0.3">
      <c r="A786" s="23"/>
      <c r="B786"/>
    </row>
    <row r="787" spans="1:2" ht="16.5" customHeight="1" x14ac:dyDescent="0.3">
      <c r="A787" s="23"/>
      <c r="B787"/>
    </row>
    <row r="788" spans="1:2" ht="16.5" customHeight="1" x14ac:dyDescent="0.3">
      <c r="A788" s="23"/>
      <c r="B788"/>
    </row>
    <row r="789" spans="1:2" ht="16.5" customHeight="1" x14ac:dyDescent="0.3">
      <c r="A789" s="23"/>
      <c r="B789"/>
    </row>
    <row r="790" spans="1:2" ht="16.5" customHeight="1" x14ac:dyDescent="0.3">
      <c r="A790" s="23"/>
      <c r="B790"/>
    </row>
    <row r="791" spans="1:2" ht="16.5" customHeight="1" x14ac:dyDescent="0.3">
      <c r="A791" s="23"/>
      <c r="B791"/>
    </row>
    <row r="792" spans="1:2" ht="16.5" customHeight="1" x14ac:dyDescent="0.3">
      <c r="A792" s="23"/>
      <c r="B792"/>
    </row>
    <row r="793" spans="1:2" ht="16.5" customHeight="1" x14ac:dyDescent="0.3">
      <c r="A793" s="23"/>
      <c r="B793"/>
    </row>
    <row r="794" spans="1:2" ht="16.5" customHeight="1" x14ac:dyDescent="0.3">
      <c r="A794" s="23"/>
      <c r="B794"/>
    </row>
    <row r="795" spans="1:2" ht="16.5" customHeight="1" x14ac:dyDescent="0.3">
      <c r="A795" s="23"/>
      <c r="B795"/>
    </row>
    <row r="796" spans="1:2" ht="16.5" customHeight="1" x14ac:dyDescent="0.3">
      <c r="A796" s="23"/>
      <c r="B796"/>
    </row>
    <row r="797" spans="1:2" ht="16.5" customHeight="1" x14ac:dyDescent="0.3">
      <c r="A797" s="23"/>
      <c r="B797"/>
    </row>
    <row r="798" spans="1:2" ht="16.5" customHeight="1" x14ac:dyDescent="0.3">
      <c r="A798" s="23"/>
      <c r="B798"/>
    </row>
    <row r="799" spans="1:2" ht="16.5" customHeight="1" x14ac:dyDescent="0.3">
      <c r="A799" s="23"/>
      <c r="B799"/>
    </row>
    <row r="800" spans="1:2" ht="16.5" customHeight="1" x14ac:dyDescent="0.3">
      <c r="A800" s="23"/>
      <c r="B800"/>
    </row>
    <row r="801" spans="1:2" ht="16.5" customHeight="1" x14ac:dyDescent="0.3">
      <c r="A801" s="23"/>
      <c r="B801"/>
    </row>
    <row r="802" spans="1:2" ht="16.5" customHeight="1" x14ac:dyDescent="0.3">
      <c r="A802" s="23"/>
      <c r="B802"/>
    </row>
    <row r="803" spans="1:2" ht="16.5" customHeight="1" x14ac:dyDescent="0.3">
      <c r="A803" s="23"/>
      <c r="B803"/>
    </row>
    <row r="804" spans="1:2" ht="16.5" customHeight="1" x14ac:dyDescent="0.3">
      <c r="A804" s="23"/>
      <c r="B804"/>
    </row>
    <row r="805" spans="1:2" ht="16.5" customHeight="1" x14ac:dyDescent="0.3">
      <c r="A805" s="23"/>
      <c r="B805"/>
    </row>
    <row r="806" spans="1:2" ht="16.5" customHeight="1" x14ac:dyDescent="0.3">
      <c r="A806" s="23"/>
      <c r="B806"/>
    </row>
    <row r="807" spans="1:2" ht="16.5" customHeight="1" x14ac:dyDescent="0.3">
      <c r="A807" s="23"/>
      <c r="B807"/>
    </row>
    <row r="808" spans="1:2" ht="16.5" customHeight="1" x14ac:dyDescent="0.3">
      <c r="A808" s="23"/>
      <c r="B808"/>
    </row>
    <row r="809" spans="1:2" ht="16.5" customHeight="1" x14ac:dyDescent="0.3">
      <c r="A809" s="23"/>
      <c r="B809"/>
    </row>
    <row r="810" spans="1:2" ht="16.5" customHeight="1" x14ac:dyDescent="0.3">
      <c r="A810" s="23"/>
      <c r="B810"/>
    </row>
    <row r="811" spans="1:2" ht="16.5" customHeight="1" x14ac:dyDescent="0.3">
      <c r="A811" s="23"/>
      <c r="B811"/>
    </row>
    <row r="812" spans="1:2" ht="16.5" customHeight="1" x14ac:dyDescent="0.3">
      <c r="A812" s="23"/>
      <c r="B812"/>
    </row>
    <row r="813" spans="1:2" ht="16.5" customHeight="1" x14ac:dyDescent="0.3">
      <c r="A813" s="23"/>
      <c r="B813"/>
    </row>
    <row r="814" spans="1:2" ht="16.5" customHeight="1" x14ac:dyDescent="0.3">
      <c r="A814" s="23"/>
      <c r="B814"/>
    </row>
    <row r="815" spans="1:2" ht="16.5" customHeight="1" x14ac:dyDescent="0.3">
      <c r="A815" s="23"/>
      <c r="B815"/>
    </row>
    <row r="816" spans="1:2" ht="16.5" customHeight="1" x14ac:dyDescent="0.3">
      <c r="A816" s="23"/>
      <c r="B816"/>
    </row>
    <row r="817" spans="1:2" ht="16.5" customHeight="1" x14ac:dyDescent="0.3">
      <c r="A817" s="23"/>
      <c r="B817"/>
    </row>
    <row r="818" spans="1:2" ht="16.5" customHeight="1" x14ac:dyDescent="0.3">
      <c r="A818" s="23"/>
      <c r="B818"/>
    </row>
    <row r="819" spans="1:2" ht="16.5" customHeight="1" x14ac:dyDescent="0.3">
      <c r="A819" s="23"/>
      <c r="B819"/>
    </row>
    <row r="820" spans="1:2" ht="16.5" customHeight="1" x14ac:dyDescent="0.3">
      <c r="A820" s="23"/>
      <c r="B820"/>
    </row>
    <row r="821" spans="1:2" ht="16.5" customHeight="1" x14ac:dyDescent="0.3">
      <c r="A821" s="23"/>
      <c r="B821"/>
    </row>
    <row r="822" spans="1:2" ht="16.5" customHeight="1" x14ac:dyDescent="0.3">
      <c r="A822" s="23"/>
      <c r="B822"/>
    </row>
    <row r="823" spans="1:2" ht="16.5" customHeight="1" x14ac:dyDescent="0.3">
      <c r="A823" s="23"/>
      <c r="B823"/>
    </row>
    <row r="824" spans="1:2" ht="16.5" customHeight="1" x14ac:dyDescent="0.3">
      <c r="A824" s="23"/>
      <c r="B824"/>
    </row>
    <row r="825" spans="1:2" ht="16.5" customHeight="1" x14ac:dyDescent="0.3">
      <c r="A825" s="23"/>
      <c r="B825"/>
    </row>
    <row r="826" spans="1:2" ht="16.5" customHeight="1" x14ac:dyDescent="0.3">
      <c r="A826" s="23"/>
      <c r="B826"/>
    </row>
    <row r="827" spans="1:2" ht="16.5" customHeight="1" x14ac:dyDescent="0.3">
      <c r="A827" s="23"/>
      <c r="B827"/>
    </row>
    <row r="828" spans="1:2" ht="16.5" customHeight="1" x14ac:dyDescent="0.3">
      <c r="A828" s="23"/>
      <c r="B828"/>
    </row>
    <row r="829" spans="1:2" ht="16.5" customHeight="1" x14ac:dyDescent="0.3">
      <c r="A829" s="23"/>
      <c r="B829"/>
    </row>
    <row r="830" spans="1:2" ht="16.5" customHeight="1" x14ac:dyDescent="0.3">
      <c r="A830" s="23"/>
      <c r="B830"/>
    </row>
    <row r="831" spans="1:2" ht="16.5" customHeight="1" x14ac:dyDescent="0.3">
      <c r="A831" s="23"/>
      <c r="B831"/>
    </row>
    <row r="832" spans="1:2" ht="16.5" customHeight="1" x14ac:dyDescent="0.3">
      <c r="A832" s="23"/>
      <c r="B832"/>
    </row>
    <row r="833" spans="1:2" ht="16.5" customHeight="1" x14ac:dyDescent="0.3">
      <c r="A833" s="23"/>
      <c r="B833"/>
    </row>
    <row r="834" spans="1:2" ht="16.5" customHeight="1" x14ac:dyDescent="0.3">
      <c r="A834" s="23"/>
      <c r="B834"/>
    </row>
    <row r="835" spans="1:2" ht="16.5" customHeight="1" x14ac:dyDescent="0.3">
      <c r="A835" s="23"/>
      <c r="B835"/>
    </row>
    <row r="836" spans="1:2" ht="16.5" customHeight="1" x14ac:dyDescent="0.3">
      <c r="A836" s="23"/>
      <c r="B836"/>
    </row>
    <row r="837" spans="1:2" ht="16.5" customHeight="1" x14ac:dyDescent="0.3">
      <c r="A837" s="23"/>
      <c r="B837"/>
    </row>
    <row r="838" spans="1:2" ht="16.5" customHeight="1" x14ac:dyDescent="0.3">
      <c r="A838" s="23"/>
      <c r="B838"/>
    </row>
    <row r="839" spans="1:2" ht="16.5" customHeight="1" x14ac:dyDescent="0.3">
      <c r="A839" s="23"/>
      <c r="B839"/>
    </row>
    <row r="840" spans="1:2" ht="16.5" customHeight="1" x14ac:dyDescent="0.3">
      <c r="A840" s="23"/>
      <c r="B840"/>
    </row>
    <row r="841" spans="1:2" ht="16.5" customHeight="1" x14ac:dyDescent="0.3">
      <c r="A841" s="23"/>
      <c r="B841"/>
    </row>
    <row r="842" spans="1:2" ht="16.5" customHeight="1" x14ac:dyDescent="0.3">
      <c r="A842" s="23"/>
      <c r="B842"/>
    </row>
    <row r="843" spans="1:2" ht="16.5" customHeight="1" x14ac:dyDescent="0.3">
      <c r="A843" s="23"/>
      <c r="B843"/>
    </row>
    <row r="844" spans="1:2" ht="16.5" customHeight="1" x14ac:dyDescent="0.3">
      <c r="A844" s="23"/>
      <c r="B844"/>
    </row>
    <row r="845" spans="1:2" ht="16.5" customHeight="1" x14ac:dyDescent="0.3">
      <c r="A845" s="23"/>
      <c r="B845"/>
    </row>
    <row r="846" spans="1:2" ht="16.5" customHeight="1" x14ac:dyDescent="0.3">
      <c r="A846" s="23"/>
      <c r="B846"/>
    </row>
    <row r="847" spans="1:2" ht="16.5" customHeight="1" x14ac:dyDescent="0.3">
      <c r="A847" s="23"/>
      <c r="B847"/>
    </row>
    <row r="848" spans="1:2" ht="16.5" customHeight="1" x14ac:dyDescent="0.3">
      <c r="A848" s="23"/>
      <c r="B848"/>
    </row>
    <row r="849" spans="1:2" ht="16.5" customHeight="1" x14ac:dyDescent="0.3">
      <c r="A849" s="23"/>
      <c r="B849"/>
    </row>
    <row r="850" spans="1:2" ht="16.5" customHeight="1" x14ac:dyDescent="0.3">
      <c r="A850" s="23"/>
      <c r="B850"/>
    </row>
    <row r="851" spans="1:2" ht="16.5" customHeight="1" x14ac:dyDescent="0.3">
      <c r="A851" s="23"/>
      <c r="B851"/>
    </row>
    <row r="852" spans="1:2" ht="16.5" customHeight="1" x14ac:dyDescent="0.3">
      <c r="A852" s="23"/>
      <c r="B852"/>
    </row>
    <row r="853" spans="1:2" ht="16.5" customHeight="1" x14ac:dyDescent="0.3">
      <c r="A853" s="23"/>
      <c r="B853"/>
    </row>
    <row r="854" spans="1:2" ht="16.5" customHeight="1" x14ac:dyDescent="0.3">
      <c r="A854" s="23"/>
      <c r="B854"/>
    </row>
    <row r="855" spans="1:2" ht="16.5" customHeight="1" x14ac:dyDescent="0.3">
      <c r="A855" s="23"/>
      <c r="B855"/>
    </row>
    <row r="856" spans="1:2" ht="16.5" customHeight="1" x14ac:dyDescent="0.3">
      <c r="A856" s="23"/>
      <c r="B856"/>
    </row>
    <row r="857" spans="1:2" ht="16.5" customHeight="1" x14ac:dyDescent="0.3">
      <c r="A857" s="23"/>
      <c r="B857"/>
    </row>
    <row r="858" spans="1:2" ht="16.5" customHeight="1" x14ac:dyDescent="0.3">
      <c r="A858" s="23"/>
      <c r="B858"/>
    </row>
    <row r="859" spans="1:2" ht="16.5" customHeight="1" x14ac:dyDescent="0.3">
      <c r="A859" s="23"/>
      <c r="B859"/>
    </row>
    <row r="860" spans="1:2" ht="16.5" customHeight="1" x14ac:dyDescent="0.3">
      <c r="A860" s="23"/>
      <c r="B860"/>
    </row>
    <row r="861" spans="1:2" ht="16.5" customHeight="1" x14ac:dyDescent="0.3">
      <c r="A861" s="23"/>
      <c r="B861"/>
    </row>
    <row r="862" spans="1:2" ht="16.5" customHeight="1" x14ac:dyDescent="0.3">
      <c r="A862" s="23"/>
      <c r="B862"/>
    </row>
    <row r="863" spans="1:2" ht="16.5" customHeight="1" x14ac:dyDescent="0.3">
      <c r="A863" s="23"/>
      <c r="B863"/>
    </row>
    <row r="864" spans="1:2" ht="16.5" customHeight="1" x14ac:dyDescent="0.3">
      <c r="A864" s="23"/>
      <c r="B864"/>
    </row>
    <row r="865" spans="1:2" ht="16.5" customHeight="1" x14ac:dyDescent="0.3">
      <c r="A865" s="23"/>
      <c r="B865"/>
    </row>
    <row r="866" spans="1:2" ht="16.5" customHeight="1" x14ac:dyDescent="0.3">
      <c r="A866" s="23"/>
      <c r="B866"/>
    </row>
    <row r="867" spans="1:2" ht="16.5" customHeight="1" x14ac:dyDescent="0.3">
      <c r="A867" s="23"/>
      <c r="B867"/>
    </row>
    <row r="868" spans="1:2" ht="16.5" customHeight="1" x14ac:dyDescent="0.3">
      <c r="A868" s="23"/>
      <c r="B868"/>
    </row>
    <row r="869" spans="1:2" ht="16.5" customHeight="1" x14ac:dyDescent="0.3">
      <c r="A869" s="23"/>
      <c r="B869"/>
    </row>
    <row r="870" spans="1:2" ht="16.5" customHeight="1" x14ac:dyDescent="0.3">
      <c r="A870" s="23"/>
      <c r="B870"/>
    </row>
    <row r="871" spans="1:2" ht="16.5" customHeight="1" x14ac:dyDescent="0.3">
      <c r="A871" s="23"/>
      <c r="B871"/>
    </row>
    <row r="872" spans="1:2" ht="16.5" customHeight="1" x14ac:dyDescent="0.3">
      <c r="A872" s="23"/>
      <c r="B872"/>
    </row>
    <row r="873" spans="1:2" ht="16.5" customHeight="1" x14ac:dyDescent="0.3">
      <c r="A873" s="23"/>
      <c r="B873"/>
    </row>
    <row r="874" spans="1:2" ht="16.5" customHeight="1" x14ac:dyDescent="0.3">
      <c r="A874" s="23"/>
      <c r="B874"/>
    </row>
    <row r="875" spans="1:2" ht="16.5" customHeight="1" x14ac:dyDescent="0.3">
      <c r="A875" s="23"/>
      <c r="B875"/>
    </row>
    <row r="876" spans="1:2" ht="16.5" customHeight="1" x14ac:dyDescent="0.3">
      <c r="A876" s="23"/>
      <c r="B876"/>
    </row>
    <row r="877" spans="1:2" ht="16.5" customHeight="1" x14ac:dyDescent="0.3">
      <c r="A877" s="23"/>
      <c r="B877"/>
    </row>
    <row r="878" spans="1:2" ht="16.5" customHeight="1" x14ac:dyDescent="0.3">
      <c r="A878" s="23"/>
      <c r="B878"/>
    </row>
    <row r="879" spans="1:2" ht="16.5" customHeight="1" x14ac:dyDescent="0.3">
      <c r="A879" s="23"/>
      <c r="B879"/>
    </row>
    <row r="880" spans="1:2" ht="16.5" customHeight="1" x14ac:dyDescent="0.3">
      <c r="A880" s="23"/>
      <c r="B880"/>
    </row>
    <row r="881" spans="1:2" ht="16.5" customHeight="1" x14ac:dyDescent="0.3">
      <c r="A881" s="23"/>
      <c r="B881"/>
    </row>
    <row r="882" spans="1:2" ht="16.5" customHeight="1" x14ac:dyDescent="0.3">
      <c r="A882" s="23"/>
      <c r="B882"/>
    </row>
    <row r="883" spans="1:2" ht="16.5" customHeight="1" x14ac:dyDescent="0.3">
      <c r="A883" s="23"/>
      <c r="B883"/>
    </row>
    <row r="884" spans="1:2" ht="16.5" customHeight="1" x14ac:dyDescent="0.3">
      <c r="A884" s="23"/>
      <c r="B884"/>
    </row>
    <row r="885" spans="1:2" ht="16.5" customHeight="1" x14ac:dyDescent="0.3">
      <c r="A885" s="23"/>
      <c r="B885"/>
    </row>
    <row r="886" spans="1:2" ht="16.5" customHeight="1" x14ac:dyDescent="0.3">
      <c r="A886" s="23"/>
      <c r="B886"/>
    </row>
    <row r="887" spans="1:2" ht="16.5" customHeight="1" x14ac:dyDescent="0.3">
      <c r="A887" s="23"/>
      <c r="B887"/>
    </row>
    <row r="888" spans="1:2" ht="16.5" customHeight="1" x14ac:dyDescent="0.3">
      <c r="A888" s="23"/>
      <c r="B888"/>
    </row>
    <row r="889" spans="1:2" ht="16.5" customHeight="1" x14ac:dyDescent="0.3">
      <c r="A889" s="23"/>
      <c r="B889"/>
    </row>
    <row r="890" spans="1:2" ht="16.5" customHeight="1" x14ac:dyDescent="0.3">
      <c r="A890" s="23"/>
      <c r="B890"/>
    </row>
    <row r="891" spans="1:2" ht="16.5" customHeight="1" x14ac:dyDescent="0.3">
      <c r="A891" s="23"/>
      <c r="B891"/>
    </row>
    <row r="892" spans="1:2" ht="16.5" customHeight="1" x14ac:dyDescent="0.3">
      <c r="A892" s="23"/>
      <c r="B892"/>
    </row>
    <row r="893" spans="1:2" ht="16.5" customHeight="1" x14ac:dyDescent="0.3">
      <c r="A893" s="23"/>
      <c r="B893"/>
    </row>
    <row r="894" spans="1:2" ht="16.5" customHeight="1" x14ac:dyDescent="0.3">
      <c r="A894" s="23"/>
      <c r="B894"/>
    </row>
    <row r="895" spans="1:2" ht="16.5" customHeight="1" x14ac:dyDescent="0.3">
      <c r="A895" s="23"/>
      <c r="B895"/>
    </row>
    <row r="896" spans="1:2" ht="16.5" customHeight="1" x14ac:dyDescent="0.3">
      <c r="A896" s="23"/>
      <c r="B896"/>
    </row>
    <row r="897" spans="1:2" ht="16.5" customHeight="1" x14ac:dyDescent="0.3">
      <c r="A897" s="23"/>
      <c r="B897"/>
    </row>
    <row r="898" spans="1:2" ht="16.5" customHeight="1" x14ac:dyDescent="0.3">
      <c r="A898" s="23"/>
      <c r="B898"/>
    </row>
    <row r="899" spans="1:2" ht="16.5" customHeight="1" x14ac:dyDescent="0.3">
      <c r="A899" s="23"/>
      <c r="B899"/>
    </row>
    <row r="900" spans="1:2" ht="16.5" customHeight="1" x14ac:dyDescent="0.3">
      <c r="A900" s="23"/>
      <c r="B900"/>
    </row>
    <row r="901" spans="1:2" ht="16.5" customHeight="1" x14ac:dyDescent="0.3">
      <c r="A901" s="23"/>
      <c r="B901"/>
    </row>
    <row r="902" spans="1:2" ht="16.5" customHeight="1" x14ac:dyDescent="0.3">
      <c r="A902" s="23"/>
      <c r="B902"/>
    </row>
    <row r="903" spans="1:2" ht="16.5" customHeight="1" x14ac:dyDescent="0.3">
      <c r="A903" s="23"/>
      <c r="B903"/>
    </row>
    <row r="904" spans="1:2" ht="16.5" customHeight="1" x14ac:dyDescent="0.3">
      <c r="A904" s="23"/>
      <c r="B904"/>
    </row>
    <row r="905" spans="1:2" ht="16.5" customHeight="1" x14ac:dyDescent="0.3">
      <c r="A905" s="23"/>
      <c r="B905"/>
    </row>
    <row r="906" spans="1:2" ht="16.5" customHeight="1" x14ac:dyDescent="0.3">
      <c r="A906" s="23"/>
      <c r="B906"/>
    </row>
    <row r="907" spans="1:2" ht="16.5" customHeight="1" x14ac:dyDescent="0.3">
      <c r="A907" s="23"/>
      <c r="B907"/>
    </row>
    <row r="908" spans="1:2" ht="16.5" customHeight="1" x14ac:dyDescent="0.3">
      <c r="A908" s="23"/>
      <c r="B908"/>
    </row>
    <row r="909" spans="1:2" ht="16.5" customHeight="1" x14ac:dyDescent="0.3">
      <c r="A909" s="23"/>
      <c r="B909"/>
    </row>
    <row r="910" spans="1:2" ht="16.5" customHeight="1" x14ac:dyDescent="0.3">
      <c r="A910" s="23"/>
      <c r="B910"/>
    </row>
    <row r="911" spans="1:2" ht="16.5" customHeight="1" x14ac:dyDescent="0.3">
      <c r="A911" s="23"/>
      <c r="B911"/>
    </row>
    <row r="912" spans="1:2" ht="16.5" customHeight="1" x14ac:dyDescent="0.3">
      <c r="A912" s="23"/>
      <c r="B912"/>
    </row>
    <row r="913" spans="1:2" ht="16.5" customHeight="1" x14ac:dyDescent="0.3">
      <c r="A913" s="23"/>
      <c r="B913"/>
    </row>
    <row r="914" spans="1:2" ht="16.5" customHeight="1" x14ac:dyDescent="0.3">
      <c r="A914" s="23"/>
      <c r="B914"/>
    </row>
    <row r="915" spans="1:2" ht="16.5" customHeight="1" x14ac:dyDescent="0.3">
      <c r="A915" s="23"/>
      <c r="B915"/>
    </row>
    <row r="916" spans="1:2" ht="16.5" customHeight="1" x14ac:dyDescent="0.3">
      <c r="A916" s="23"/>
      <c r="B916"/>
    </row>
    <row r="917" spans="1:2" ht="16.5" customHeight="1" x14ac:dyDescent="0.3">
      <c r="A917" s="23"/>
      <c r="B917"/>
    </row>
    <row r="918" spans="1:2" ht="16.5" customHeight="1" x14ac:dyDescent="0.3">
      <c r="A918" s="23"/>
      <c r="B918"/>
    </row>
    <row r="919" spans="1:2" ht="16.5" customHeight="1" x14ac:dyDescent="0.3">
      <c r="A919" s="23"/>
      <c r="B919"/>
    </row>
    <row r="920" spans="1:2" ht="16.5" customHeight="1" x14ac:dyDescent="0.3">
      <c r="A920" s="23"/>
      <c r="B920"/>
    </row>
    <row r="921" spans="1:2" ht="16.5" customHeight="1" x14ac:dyDescent="0.3">
      <c r="A921" s="23"/>
      <c r="B921"/>
    </row>
    <row r="922" spans="1:2" ht="16.5" customHeight="1" x14ac:dyDescent="0.3">
      <c r="A922" s="23"/>
      <c r="B922"/>
    </row>
    <row r="923" spans="1:2" ht="16.5" customHeight="1" x14ac:dyDescent="0.3">
      <c r="A923" s="23"/>
      <c r="B923"/>
    </row>
    <row r="924" spans="1:2" ht="16.5" customHeight="1" x14ac:dyDescent="0.3">
      <c r="A924" s="23"/>
      <c r="B924"/>
    </row>
    <row r="925" spans="1:2" ht="16.5" customHeight="1" x14ac:dyDescent="0.3">
      <c r="A925" s="23"/>
      <c r="B925"/>
    </row>
    <row r="926" spans="1:2" ht="16.5" customHeight="1" x14ac:dyDescent="0.3">
      <c r="A926" s="23"/>
      <c r="B926"/>
    </row>
    <row r="927" spans="1:2" ht="16.5" customHeight="1" x14ac:dyDescent="0.3">
      <c r="A927" s="23"/>
      <c r="B927"/>
    </row>
    <row r="928" spans="1:2" ht="16.5" customHeight="1" x14ac:dyDescent="0.3">
      <c r="A928" s="23"/>
      <c r="B928"/>
    </row>
    <row r="929" spans="1:2" ht="16.5" customHeight="1" x14ac:dyDescent="0.3">
      <c r="A929" s="23"/>
      <c r="B929"/>
    </row>
    <row r="930" spans="1:2" ht="16.5" customHeight="1" x14ac:dyDescent="0.3">
      <c r="A930" s="23"/>
      <c r="B930"/>
    </row>
    <row r="931" spans="1:2" ht="16.5" customHeight="1" x14ac:dyDescent="0.3">
      <c r="A931" s="23"/>
      <c r="B931"/>
    </row>
    <row r="932" spans="1:2" ht="16.5" customHeight="1" x14ac:dyDescent="0.3">
      <c r="A932" s="23"/>
      <c r="B932"/>
    </row>
    <row r="933" spans="1:2" ht="16.5" customHeight="1" x14ac:dyDescent="0.3">
      <c r="A933" s="23"/>
      <c r="B933"/>
    </row>
    <row r="934" spans="1:2" ht="16.5" customHeight="1" x14ac:dyDescent="0.3">
      <c r="A934" s="23"/>
      <c r="B934"/>
    </row>
    <row r="935" spans="1:2" ht="16.5" customHeight="1" x14ac:dyDescent="0.3">
      <c r="A935" s="23"/>
      <c r="B935"/>
    </row>
    <row r="936" spans="1:2" ht="16.5" customHeight="1" x14ac:dyDescent="0.3">
      <c r="A936" s="23"/>
      <c r="B936"/>
    </row>
    <row r="937" spans="1:2" ht="16.5" customHeight="1" x14ac:dyDescent="0.3">
      <c r="A937" s="23"/>
      <c r="B937"/>
    </row>
    <row r="938" spans="1:2" ht="16.5" customHeight="1" x14ac:dyDescent="0.3">
      <c r="A938" s="23"/>
      <c r="B938"/>
    </row>
    <row r="939" spans="1:2" ht="16.5" customHeight="1" x14ac:dyDescent="0.3">
      <c r="A939" s="23"/>
      <c r="B939"/>
    </row>
    <row r="940" spans="1:2" ht="16.5" customHeight="1" x14ac:dyDescent="0.3">
      <c r="A940" s="23"/>
      <c r="B940"/>
    </row>
    <row r="941" spans="1:2" ht="16.5" customHeight="1" x14ac:dyDescent="0.3">
      <c r="A941" s="23"/>
      <c r="B941"/>
    </row>
    <row r="942" spans="1:2" ht="16.5" customHeight="1" x14ac:dyDescent="0.3">
      <c r="A942" s="23"/>
      <c r="B942"/>
    </row>
    <row r="943" spans="1:2" ht="16.5" customHeight="1" x14ac:dyDescent="0.3">
      <c r="A943" s="23"/>
      <c r="B943"/>
    </row>
    <row r="944" spans="1:2" ht="16.5" customHeight="1" x14ac:dyDescent="0.3">
      <c r="A944" s="23"/>
      <c r="B944"/>
    </row>
    <row r="945" spans="1:2" ht="16.5" customHeight="1" x14ac:dyDescent="0.3">
      <c r="A945" s="23"/>
      <c r="B945"/>
    </row>
    <row r="946" spans="1:2" ht="16.5" customHeight="1" x14ac:dyDescent="0.3">
      <c r="A946" s="23"/>
      <c r="B946"/>
    </row>
    <row r="947" spans="1:2" ht="16.5" customHeight="1" x14ac:dyDescent="0.3">
      <c r="A947" s="23"/>
      <c r="B947"/>
    </row>
    <row r="948" spans="1:2" ht="16.5" customHeight="1" x14ac:dyDescent="0.3">
      <c r="A948" s="23"/>
      <c r="B948"/>
    </row>
    <row r="949" spans="1:2" ht="16.5" customHeight="1" x14ac:dyDescent="0.3">
      <c r="A949" s="23"/>
      <c r="B949"/>
    </row>
    <row r="950" spans="1:2" ht="16.5" customHeight="1" x14ac:dyDescent="0.3">
      <c r="A950" s="23"/>
      <c r="B950"/>
    </row>
    <row r="951" spans="1:2" ht="16.5" customHeight="1" x14ac:dyDescent="0.3">
      <c r="A951" s="23"/>
      <c r="B951"/>
    </row>
    <row r="952" spans="1:2" ht="16.5" customHeight="1" x14ac:dyDescent="0.3">
      <c r="A952" s="23"/>
      <c r="B952"/>
    </row>
    <row r="953" spans="1:2" ht="16.5" customHeight="1" x14ac:dyDescent="0.3">
      <c r="A953" s="23"/>
      <c r="B953"/>
    </row>
    <row r="954" spans="1:2" ht="16.5" customHeight="1" x14ac:dyDescent="0.3">
      <c r="A954" s="23"/>
      <c r="B954"/>
    </row>
    <row r="955" spans="1:2" ht="16.5" customHeight="1" x14ac:dyDescent="0.3">
      <c r="A955" s="23"/>
      <c r="B955"/>
    </row>
    <row r="956" spans="1:2" ht="16.5" customHeight="1" x14ac:dyDescent="0.3">
      <c r="A956" s="23"/>
      <c r="B956"/>
    </row>
    <row r="957" spans="1:2" ht="16.5" customHeight="1" x14ac:dyDescent="0.3">
      <c r="A957" s="23"/>
      <c r="B957"/>
    </row>
    <row r="958" spans="1:2" ht="16.5" customHeight="1" x14ac:dyDescent="0.3">
      <c r="A958" s="23"/>
      <c r="B958"/>
    </row>
    <row r="959" spans="1:2" ht="16.5" customHeight="1" x14ac:dyDescent="0.3">
      <c r="A959" s="23"/>
      <c r="B959"/>
    </row>
    <row r="960" spans="1:2" ht="16.5" customHeight="1" x14ac:dyDescent="0.3">
      <c r="A960" s="23"/>
      <c r="B960"/>
    </row>
    <row r="961" spans="1:2" ht="16.5" customHeight="1" x14ac:dyDescent="0.3">
      <c r="A961" s="23"/>
      <c r="B961"/>
    </row>
    <row r="962" spans="1:2" ht="16.5" customHeight="1" x14ac:dyDescent="0.3">
      <c r="A962" s="23"/>
      <c r="B962"/>
    </row>
    <row r="963" spans="1:2" ht="16.5" customHeight="1" x14ac:dyDescent="0.3">
      <c r="A963" s="23"/>
      <c r="B963"/>
    </row>
    <row r="964" spans="1:2" ht="16.5" customHeight="1" x14ac:dyDescent="0.3">
      <c r="A964" s="23"/>
      <c r="B964"/>
    </row>
    <row r="965" spans="1:2" ht="16.5" customHeight="1" x14ac:dyDescent="0.3">
      <c r="A965" s="23"/>
      <c r="B965"/>
    </row>
    <row r="966" spans="1:2" ht="16.5" customHeight="1" x14ac:dyDescent="0.3">
      <c r="A966" s="23"/>
      <c r="B966"/>
    </row>
    <row r="967" spans="1:2" ht="16.5" customHeight="1" x14ac:dyDescent="0.3">
      <c r="A967" s="23"/>
      <c r="B967"/>
    </row>
    <row r="968" spans="1:2" ht="16.5" customHeight="1" x14ac:dyDescent="0.3">
      <c r="A968" s="23"/>
      <c r="B968"/>
    </row>
    <row r="969" spans="1:2" ht="16.5" customHeight="1" x14ac:dyDescent="0.3">
      <c r="A969" s="23"/>
      <c r="B969"/>
    </row>
    <row r="970" spans="1:2" ht="16.5" customHeight="1" x14ac:dyDescent="0.3">
      <c r="A970" s="23"/>
      <c r="B970"/>
    </row>
    <row r="971" spans="1:2" ht="16.5" customHeight="1" x14ac:dyDescent="0.3">
      <c r="A971" s="23"/>
      <c r="B971"/>
    </row>
    <row r="972" spans="1:2" ht="16.5" customHeight="1" x14ac:dyDescent="0.3">
      <c r="A972" s="23"/>
      <c r="B972"/>
    </row>
    <row r="973" spans="1:2" ht="16.5" customHeight="1" x14ac:dyDescent="0.3">
      <c r="A973" s="23"/>
      <c r="B973"/>
    </row>
    <row r="974" spans="1:2" ht="16.5" customHeight="1" x14ac:dyDescent="0.3">
      <c r="A974" s="23"/>
      <c r="B974"/>
    </row>
    <row r="975" spans="1:2" ht="16.5" customHeight="1" x14ac:dyDescent="0.3">
      <c r="A975" s="23"/>
      <c r="B975"/>
    </row>
    <row r="976" spans="1:2" ht="16.5" customHeight="1" x14ac:dyDescent="0.3">
      <c r="A976" s="23"/>
      <c r="B976"/>
    </row>
    <row r="977" spans="1:2" ht="16.5" customHeight="1" x14ac:dyDescent="0.3">
      <c r="A977" s="23"/>
      <c r="B977"/>
    </row>
    <row r="978" spans="1:2" ht="16.5" customHeight="1" x14ac:dyDescent="0.3">
      <c r="A978" s="23"/>
      <c r="B978"/>
    </row>
    <row r="979" spans="1:2" ht="16.5" customHeight="1" x14ac:dyDescent="0.3">
      <c r="A979" s="23"/>
      <c r="B979"/>
    </row>
    <row r="980" spans="1:2" ht="16.5" customHeight="1" x14ac:dyDescent="0.3">
      <c r="A980" s="23"/>
      <c r="B980"/>
    </row>
    <row r="981" spans="1:2" ht="16.5" customHeight="1" x14ac:dyDescent="0.3">
      <c r="A981" s="23"/>
      <c r="B981"/>
    </row>
    <row r="982" spans="1:2" ht="16.5" customHeight="1" x14ac:dyDescent="0.3">
      <c r="A982" s="23"/>
      <c r="B982"/>
    </row>
    <row r="983" spans="1:2" ht="16.5" customHeight="1" x14ac:dyDescent="0.3">
      <c r="A983" s="23"/>
      <c r="B983"/>
    </row>
    <row r="984" spans="1:2" ht="16.5" customHeight="1" x14ac:dyDescent="0.3">
      <c r="A984" s="23"/>
      <c r="B984"/>
    </row>
    <row r="985" spans="1:2" ht="16.5" customHeight="1" x14ac:dyDescent="0.3">
      <c r="A985" s="23"/>
      <c r="B985"/>
    </row>
    <row r="986" spans="1:2" ht="16.5" customHeight="1" x14ac:dyDescent="0.3">
      <c r="A986" s="23"/>
      <c r="B986"/>
    </row>
    <row r="987" spans="1:2" ht="16.5" customHeight="1" x14ac:dyDescent="0.3">
      <c r="A987" s="23"/>
      <c r="B987"/>
    </row>
    <row r="988" spans="1:2" ht="16.5" customHeight="1" x14ac:dyDescent="0.3">
      <c r="A988" s="23"/>
      <c r="B988"/>
    </row>
    <row r="989" spans="1:2" ht="16.5" customHeight="1" x14ac:dyDescent="0.3">
      <c r="A989" s="23"/>
      <c r="B989"/>
    </row>
    <row r="990" spans="1:2" ht="16.5" customHeight="1" x14ac:dyDescent="0.3">
      <c r="A990" s="23"/>
      <c r="B990"/>
    </row>
    <row r="991" spans="1:2" ht="16.5" customHeight="1" x14ac:dyDescent="0.3">
      <c r="A991" s="23"/>
      <c r="B991"/>
    </row>
    <row r="992" spans="1:2" ht="16.5" customHeight="1" x14ac:dyDescent="0.3">
      <c r="A992" s="23"/>
      <c r="B992"/>
    </row>
    <row r="993" spans="1:2" ht="16.5" customHeight="1" x14ac:dyDescent="0.3">
      <c r="A993" s="23"/>
      <c r="B993"/>
    </row>
    <row r="994" spans="1:2" ht="16.5" customHeight="1" x14ac:dyDescent="0.3">
      <c r="A994" s="23"/>
      <c r="B994"/>
    </row>
    <row r="995" spans="1:2" ht="16.5" customHeight="1" x14ac:dyDescent="0.3">
      <c r="A995" s="23"/>
      <c r="B995"/>
    </row>
    <row r="996" spans="1:2" ht="16.5" customHeight="1" x14ac:dyDescent="0.3">
      <c r="A996" s="23"/>
      <c r="B996"/>
    </row>
    <row r="997" spans="1:2" ht="16.5" customHeight="1" x14ac:dyDescent="0.3">
      <c r="A997" s="23"/>
      <c r="B997"/>
    </row>
    <row r="998" spans="1:2" ht="16.5" customHeight="1" x14ac:dyDescent="0.3">
      <c r="A998" s="23"/>
      <c r="B998"/>
    </row>
    <row r="999" spans="1:2" ht="16.5" customHeight="1" x14ac:dyDescent="0.3">
      <c r="A999" s="23"/>
      <c r="B999"/>
    </row>
    <row r="1000" spans="1:2" ht="16.5" customHeight="1" x14ac:dyDescent="0.3">
      <c r="A1000" s="23"/>
      <c r="B1000"/>
    </row>
    <row r="1001" spans="1:2" ht="16.5" customHeight="1" x14ac:dyDescent="0.3">
      <c r="A1001" s="23"/>
      <c r="B1001"/>
    </row>
    <row r="1002" spans="1:2" ht="16.5" customHeight="1" x14ac:dyDescent="0.3">
      <c r="A1002" s="23"/>
      <c r="B1002"/>
    </row>
    <row r="1003" spans="1:2" ht="16.5" customHeight="1" x14ac:dyDescent="0.3">
      <c r="A1003" s="23"/>
      <c r="B1003"/>
    </row>
    <row r="1004" spans="1:2" ht="16.5" customHeight="1" x14ac:dyDescent="0.3">
      <c r="A1004" s="23"/>
      <c r="B1004"/>
    </row>
    <row r="1005" spans="1:2" ht="16.5" customHeight="1" x14ac:dyDescent="0.3">
      <c r="A1005" s="23"/>
      <c r="B1005"/>
    </row>
    <row r="1006" spans="1:2" ht="16.5" customHeight="1" x14ac:dyDescent="0.3">
      <c r="A1006" s="23"/>
      <c r="B1006"/>
    </row>
    <row r="1007" spans="1:2" ht="16.5" customHeight="1" x14ac:dyDescent="0.3">
      <c r="A1007" s="23"/>
      <c r="B1007"/>
    </row>
    <row r="1008" spans="1:2" ht="16.5" customHeight="1" x14ac:dyDescent="0.3">
      <c r="A1008" s="23"/>
      <c r="B1008"/>
    </row>
    <row r="1009" spans="1:2" ht="16.5" customHeight="1" x14ac:dyDescent="0.3">
      <c r="A1009" s="23"/>
      <c r="B1009"/>
    </row>
    <row r="1010" spans="1:2" ht="16.5" customHeight="1" x14ac:dyDescent="0.3">
      <c r="A1010" s="23"/>
      <c r="B1010"/>
    </row>
    <row r="1011" spans="1:2" ht="16.5" customHeight="1" x14ac:dyDescent="0.3">
      <c r="A1011" s="23"/>
      <c r="B1011"/>
    </row>
    <row r="1012" spans="1:2" ht="16.5" customHeight="1" x14ac:dyDescent="0.3">
      <c r="A1012" s="23"/>
      <c r="B1012"/>
    </row>
    <row r="1013" spans="1:2" ht="16.5" customHeight="1" x14ac:dyDescent="0.3">
      <c r="A1013" s="23"/>
      <c r="B1013"/>
    </row>
    <row r="1014" spans="1:2" ht="16.5" customHeight="1" x14ac:dyDescent="0.3">
      <c r="A1014" s="23"/>
      <c r="B1014"/>
    </row>
    <row r="1015" spans="1:2" ht="16.5" customHeight="1" x14ac:dyDescent="0.3">
      <c r="A1015" s="23"/>
      <c r="B1015"/>
    </row>
    <row r="1016" spans="1:2" ht="16.5" customHeight="1" x14ac:dyDescent="0.3">
      <c r="A1016" s="23"/>
      <c r="B1016"/>
    </row>
    <row r="1017" spans="1:2" ht="16.5" customHeight="1" x14ac:dyDescent="0.3">
      <c r="A1017" s="23"/>
      <c r="B1017"/>
    </row>
    <row r="1018" spans="1:2" ht="16.5" customHeight="1" x14ac:dyDescent="0.3">
      <c r="A1018" s="23"/>
      <c r="B1018"/>
    </row>
    <row r="1019" spans="1:2" ht="16.5" customHeight="1" x14ac:dyDescent="0.3">
      <c r="A1019" s="23"/>
      <c r="B1019"/>
    </row>
    <row r="1020" spans="1:2" ht="16.5" customHeight="1" x14ac:dyDescent="0.3">
      <c r="A1020" s="23"/>
      <c r="B1020"/>
    </row>
    <row r="1021" spans="1:2" ht="16.5" customHeight="1" x14ac:dyDescent="0.3">
      <c r="A1021" s="23"/>
      <c r="B1021"/>
    </row>
    <row r="1022" spans="1:2" ht="16.5" customHeight="1" x14ac:dyDescent="0.3">
      <c r="A1022" s="23"/>
      <c r="B1022"/>
    </row>
    <row r="1023" spans="1:2" ht="16.5" customHeight="1" x14ac:dyDescent="0.3">
      <c r="A1023" s="23"/>
      <c r="B1023"/>
    </row>
    <row r="1024" spans="1:2" ht="16.5" customHeight="1" x14ac:dyDescent="0.3">
      <c r="A1024" s="23"/>
      <c r="B1024"/>
    </row>
    <row r="1025" spans="1:2" ht="16.5" customHeight="1" x14ac:dyDescent="0.3">
      <c r="A1025" s="23"/>
      <c r="B1025"/>
    </row>
    <row r="1026" spans="1:2" ht="16.5" customHeight="1" x14ac:dyDescent="0.3">
      <c r="A1026" s="23"/>
      <c r="B1026"/>
    </row>
    <row r="1027" spans="1:2" ht="16.5" customHeight="1" x14ac:dyDescent="0.3">
      <c r="A1027" s="23"/>
      <c r="B1027"/>
    </row>
    <row r="1028" spans="1:2" ht="16.5" customHeight="1" x14ac:dyDescent="0.3">
      <c r="A1028" s="23"/>
      <c r="B1028"/>
    </row>
    <row r="1029" spans="1:2" ht="16.5" customHeight="1" x14ac:dyDescent="0.3">
      <c r="A1029" s="23"/>
      <c r="B1029"/>
    </row>
    <row r="1030" spans="1:2" ht="16.5" customHeight="1" x14ac:dyDescent="0.3">
      <c r="A1030" s="23"/>
      <c r="B1030"/>
    </row>
    <row r="1031" spans="1:2" ht="16.5" customHeight="1" x14ac:dyDescent="0.3">
      <c r="A1031" s="23"/>
      <c r="B1031"/>
    </row>
    <row r="1032" spans="1:2" ht="16.5" customHeight="1" x14ac:dyDescent="0.3">
      <c r="A1032" s="23"/>
      <c r="B1032"/>
    </row>
    <row r="1033" spans="1:2" ht="16.5" customHeight="1" x14ac:dyDescent="0.3">
      <c r="A1033" s="23"/>
      <c r="B1033"/>
    </row>
    <row r="1034" spans="1:2" ht="16.5" customHeight="1" x14ac:dyDescent="0.3">
      <c r="A1034" s="23"/>
      <c r="B1034"/>
    </row>
    <row r="1035" spans="1:2" ht="16.5" customHeight="1" x14ac:dyDescent="0.3">
      <c r="A1035" s="23"/>
      <c r="B1035"/>
    </row>
    <row r="1036" spans="1:2" ht="16.5" customHeight="1" x14ac:dyDescent="0.3">
      <c r="A1036" s="23"/>
      <c r="B1036"/>
    </row>
    <row r="1037" spans="1:2" ht="16.5" customHeight="1" x14ac:dyDescent="0.3">
      <c r="A1037" s="23"/>
      <c r="B1037"/>
    </row>
    <row r="1038" spans="1:2" ht="16.5" customHeight="1" x14ac:dyDescent="0.3">
      <c r="A1038" s="23"/>
      <c r="B1038"/>
    </row>
    <row r="1039" spans="1:2" ht="16.5" customHeight="1" x14ac:dyDescent="0.3">
      <c r="A1039" s="23"/>
      <c r="B1039"/>
    </row>
    <row r="1040" spans="1:2" ht="16.5" customHeight="1" x14ac:dyDescent="0.3">
      <c r="A1040" s="23"/>
      <c r="B1040"/>
    </row>
    <row r="1041" spans="1:2" ht="16.5" customHeight="1" x14ac:dyDescent="0.3">
      <c r="A1041" s="23"/>
      <c r="B1041"/>
    </row>
    <row r="1042" spans="1:2" ht="16.5" customHeight="1" x14ac:dyDescent="0.3">
      <c r="A1042" s="23"/>
      <c r="B1042"/>
    </row>
    <row r="1043" spans="1:2" ht="16.5" customHeight="1" x14ac:dyDescent="0.3">
      <c r="A1043" s="23"/>
      <c r="B1043"/>
    </row>
    <row r="1044" spans="1:2" ht="16.5" customHeight="1" x14ac:dyDescent="0.3">
      <c r="A1044" s="23"/>
      <c r="B1044"/>
    </row>
    <row r="1045" spans="1:2" ht="16.5" customHeight="1" x14ac:dyDescent="0.3">
      <c r="A1045" s="23"/>
      <c r="B1045"/>
    </row>
    <row r="1046" spans="1:2" ht="16.5" customHeight="1" x14ac:dyDescent="0.3">
      <c r="A1046" s="23"/>
      <c r="B1046"/>
    </row>
    <row r="1047" spans="1:2" ht="16.5" customHeight="1" x14ac:dyDescent="0.3">
      <c r="A1047" s="23"/>
      <c r="B1047"/>
    </row>
    <row r="1048" spans="1:2" ht="16.5" customHeight="1" x14ac:dyDescent="0.3">
      <c r="A1048" s="23"/>
      <c r="B1048"/>
    </row>
    <row r="1049" spans="1:2" ht="16.5" customHeight="1" x14ac:dyDescent="0.3">
      <c r="A1049" s="23"/>
      <c r="B1049"/>
    </row>
    <row r="1050" spans="1:2" ht="16.5" customHeight="1" x14ac:dyDescent="0.3">
      <c r="A1050" s="23"/>
      <c r="B1050"/>
    </row>
    <row r="1051" spans="1:2" ht="16.5" customHeight="1" x14ac:dyDescent="0.3">
      <c r="A1051" s="23"/>
      <c r="B1051"/>
    </row>
    <row r="1052" spans="1:2" ht="16.5" customHeight="1" x14ac:dyDescent="0.3">
      <c r="A1052" s="23"/>
      <c r="B1052"/>
    </row>
    <row r="1053" spans="1:2" ht="16.5" customHeight="1" x14ac:dyDescent="0.3">
      <c r="A1053" s="23"/>
      <c r="B1053"/>
    </row>
    <row r="1054" spans="1:2" ht="16.5" customHeight="1" x14ac:dyDescent="0.3">
      <c r="A1054" s="23"/>
      <c r="B1054"/>
    </row>
    <row r="1055" spans="1:2" ht="16.5" customHeight="1" x14ac:dyDescent="0.3">
      <c r="A1055" s="23"/>
      <c r="B1055"/>
    </row>
    <row r="1056" spans="1:2" ht="16.5" customHeight="1" x14ac:dyDescent="0.3">
      <c r="A1056" s="23"/>
      <c r="B1056"/>
    </row>
    <row r="1057" spans="1:2" ht="16.5" customHeight="1" x14ac:dyDescent="0.3">
      <c r="A1057" s="23"/>
      <c r="B1057"/>
    </row>
    <row r="1058" spans="1:2" ht="16.5" customHeight="1" x14ac:dyDescent="0.3">
      <c r="A1058" s="23"/>
      <c r="B1058"/>
    </row>
    <row r="1059" spans="1:2" ht="16.5" customHeight="1" x14ac:dyDescent="0.3">
      <c r="A1059" s="23"/>
      <c r="B1059"/>
    </row>
    <row r="1060" spans="1:2" ht="16.5" customHeight="1" x14ac:dyDescent="0.3">
      <c r="A1060" s="23"/>
      <c r="B1060"/>
    </row>
    <row r="1061" spans="1:2" ht="16.5" customHeight="1" x14ac:dyDescent="0.3">
      <c r="A1061" s="23"/>
      <c r="B1061"/>
    </row>
    <row r="1062" spans="1:2" ht="16.5" customHeight="1" x14ac:dyDescent="0.3">
      <c r="A1062" s="23"/>
      <c r="B1062"/>
    </row>
    <row r="1063" spans="1:2" ht="16.5" customHeight="1" x14ac:dyDescent="0.3">
      <c r="A1063" s="23"/>
      <c r="B1063"/>
    </row>
    <row r="1064" spans="1:2" ht="16.5" customHeight="1" x14ac:dyDescent="0.3">
      <c r="A1064" s="23"/>
      <c r="B1064"/>
    </row>
    <row r="1065" spans="1:2" ht="16.5" customHeight="1" x14ac:dyDescent="0.3">
      <c r="A1065" s="23"/>
      <c r="B1065"/>
    </row>
    <row r="1066" spans="1:2" ht="16.5" customHeight="1" x14ac:dyDescent="0.3">
      <c r="A1066" s="23"/>
      <c r="B1066"/>
    </row>
    <row r="1067" spans="1:2" ht="16.5" customHeight="1" x14ac:dyDescent="0.3">
      <c r="A1067" s="23"/>
      <c r="B1067"/>
    </row>
    <row r="1068" spans="1:2" ht="16.5" customHeight="1" x14ac:dyDescent="0.3">
      <c r="A1068" s="23"/>
      <c r="B1068"/>
    </row>
    <row r="1069" spans="1:2" ht="16.5" customHeight="1" x14ac:dyDescent="0.3">
      <c r="A1069" s="23"/>
      <c r="B1069"/>
    </row>
    <row r="1070" spans="1:2" ht="16.5" customHeight="1" x14ac:dyDescent="0.3">
      <c r="A1070" s="23"/>
      <c r="B1070"/>
    </row>
    <row r="1071" spans="1:2" ht="16.5" customHeight="1" x14ac:dyDescent="0.3">
      <c r="A1071" s="23"/>
      <c r="B1071"/>
    </row>
    <row r="1072" spans="1:2" ht="16.5" customHeight="1" x14ac:dyDescent="0.3">
      <c r="A1072" s="23"/>
      <c r="B1072"/>
    </row>
    <row r="1073" spans="1:2" ht="16.5" customHeight="1" x14ac:dyDescent="0.3">
      <c r="A1073" s="23"/>
      <c r="B1073"/>
    </row>
    <row r="1074" spans="1:2" ht="16.5" customHeight="1" x14ac:dyDescent="0.3">
      <c r="A1074" s="23"/>
      <c r="B1074"/>
    </row>
    <row r="1075" spans="1:2" ht="16.5" customHeight="1" x14ac:dyDescent="0.3">
      <c r="A1075" s="23"/>
      <c r="B1075"/>
    </row>
    <row r="1076" spans="1:2" ht="16.5" customHeight="1" x14ac:dyDescent="0.3">
      <c r="A1076" s="23"/>
      <c r="B1076"/>
    </row>
    <row r="1077" spans="1:2" ht="16.5" customHeight="1" x14ac:dyDescent="0.3">
      <c r="A1077" s="23"/>
      <c r="B1077"/>
    </row>
    <row r="1078" spans="1:2" ht="16.5" customHeight="1" x14ac:dyDescent="0.3">
      <c r="A1078" s="23"/>
      <c r="B1078"/>
    </row>
    <row r="1079" spans="1:2" ht="16.5" customHeight="1" x14ac:dyDescent="0.3">
      <c r="A1079" s="23"/>
      <c r="B1079"/>
    </row>
    <row r="1080" spans="1:2" ht="16.5" customHeight="1" x14ac:dyDescent="0.3">
      <c r="A1080" s="23"/>
      <c r="B1080"/>
    </row>
    <row r="1081" spans="1:2" ht="16.5" customHeight="1" x14ac:dyDescent="0.3">
      <c r="A1081" s="23"/>
      <c r="B1081"/>
    </row>
    <row r="1082" spans="1:2" ht="16.5" customHeight="1" x14ac:dyDescent="0.3">
      <c r="A1082" s="23"/>
      <c r="B1082"/>
    </row>
    <row r="1083" spans="1:2" ht="16.5" customHeight="1" x14ac:dyDescent="0.3">
      <c r="A1083" s="23"/>
      <c r="B1083"/>
    </row>
    <row r="1084" spans="1:2" ht="16.5" customHeight="1" x14ac:dyDescent="0.3">
      <c r="A1084" s="23"/>
      <c r="B1084"/>
    </row>
    <row r="1085" spans="1:2" ht="16.5" customHeight="1" x14ac:dyDescent="0.3">
      <c r="A1085" s="23"/>
      <c r="B1085"/>
    </row>
    <row r="1086" spans="1:2" ht="16.5" customHeight="1" x14ac:dyDescent="0.3">
      <c r="A1086" s="23"/>
      <c r="B1086"/>
    </row>
    <row r="1087" spans="1:2" ht="16.5" customHeight="1" x14ac:dyDescent="0.3">
      <c r="A1087" s="23"/>
      <c r="B1087"/>
    </row>
    <row r="1088" spans="1:2" ht="16.5" customHeight="1" x14ac:dyDescent="0.3">
      <c r="A1088" s="23"/>
      <c r="B1088"/>
    </row>
    <row r="1089" spans="1:2" ht="16.5" customHeight="1" x14ac:dyDescent="0.3">
      <c r="A1089" s="23"/>
      <c r="B1089"/>
    </row>
    <row r="1090" spans="1:2" ht="16.5" customHeight="1" x14ac:dyDescent="0.3">
      <c r="A1090" s="23"/>
      <c r="B1090"/>
    </row>
    <row r="1091" spans="1:2" ht="16.5" customHeight="1" x14ac:dyDescent="0.3">
      <c r="A1091" s="23"/>
      <c r="B1091"/>
    </row>
    <row r="1092" spans="1:2" ht="16.5" customHeight="1" x14ac:dyDescent="0.3">
      <c r="A1092" s="23"/>
      <c r="B1092"/>
    </row>
    <row r="1093" spans="1:2" ht="16.5" customHeight="1" x14ac:dyDescent="0.3">
      <c r="A1093" s="23"/>
      <c r="B1093"/>
    </row>
    <row r="1094" spans="1:2" ht="16.5" customHeight="1" x14ac:dyDescent="0.3">
      <c r="A1094" s="23"/>
      <c r="B1094"/>
    </row>
    <row r="1095" spans="1:2" ht="16.5" customHeight="1" x14ac:dyDescent="0.3">
      <c r="A1095" s="23"/>
      <c r="B1095"/>
    </row>
    <row r="1096" spans="1:2" ht="16.5" customHeight="1" x14ac:dyDescent="0.3">
      <c r="A1096" s="23"/>
      <c r="B1096"/>
    </row>
    <row r="1097" spans="1:2" ht="16.5" customHeight="1" x14ac:dyDescent="0.3">
      <c r="A1097" s="23"/>
      <c r="B1097"/>
    </row>
    <row r="1098" spans="1:2" ht="16.5" customHeight="1" x14ac:dyDescent="0.3">
      <c r="A1098" s="23"/>
      <c r="B1098"/>
    </row>
    <row r="1099" spans="1:2" ht="16.5" customHeight="1" x14ac:dyDescent="0.3">
      <c r="A1099" s="23"/>
      <c r="B1099"/>
    </row>
    <row r="1100" spans="1:2" ht="16.5" customHeight="1" x14ac:dyDescent="0.3">
      <c r="A1100" s="23"/>
      <c r="B1100"/>
    </row>
    <row r="1101" spans="1:2" ht="16.5" customHeight="1" x14ac:dyDescent="0.3">
      <c r="A1101" s="23"/>
      <c r="B1101"/>
    </row>
    <row r="1102" spans="1:2" ht="16.5" customHeight="1" x14ac:dyDescent="0.3">
      <c r="A1102" s="23"/>
      <c r="B1102"/>
    </row>
    <row r="1103" spans="1:2" ht="16.5" customHeight="1" x14ac:dyDescent="0.3">
      <c r="A1103" s="23"/>
      <c r="B1103"/>
    </row>
    <row r="1104" spans="1:2" ht="16.5" customHeight="1" x14ac:dyDescent="0.3">
      <c r="A1104" s="23"/>
      <c r="B1104"/>
    </row>
    <row r="1105" spans="1:2" ht="16.5" customHeight="1" x14ac:dyDescent="0.3">
      <c r="A1105" s="23"/>
      <c r="B1105"/>
    </row>
    <row r="1106" spans="1:2" ht="16.5" customHeight="1" x14ac:dyDescent="0.3">
      <c r="A1106" s="23"/>
      <c r="B1106"/>
    </row>
    <row r="1107" spans="1:2" ht="16.5" customHeight="1" x14ac:dyDescent="0.3">
      <c r="A1107" s="23"/>
      <c r="B1107"/>
    </row>
    <row r="1108" spans="1:2" ht="16.5" customHeight="1" x14ac:dyDescent="0.3">
      <c r="A1108" s="23"/>
      <c r="B1108"/>
    </row>
    <row r="1109" spans="1:2" ht="16.5" customHeight="1" x14ac:dyDescent="0.3">
      <c r="A1109" s="23"/>
      <c r="B1109"/>
    </row>
    <row r="1110" spans="1:2" ht="16.5" customHeight="1" x14ac:dyDescent="0.3">
      <c r="A1110" s="23"/>
      <c r="B1110"/>
    </row>
    <row r="1111" spans="1:2" ht="16.5" customHeight="1" x14ac:dyDescent="0.3">
      <c r="A1111" s="23"/>
      <c r="B1111"/>
    </row>
    <row r="1112" spans="1:2" ht="16.5" customHeight="1" x14ac:dyDescent="0.3">
      <c r="A1112" s="23"/>
      <c r="B1112"/>
    </row>
    <row r="1113" spans="1:2" ht="16.5" customHeight="1" x14ac:dyDescent="0.3">
      <c r="A1113" s="23"/>
      <c r="B1113"/>
    </row>
    <row r="1114" spans="1:2" ht="16.5" customHeight="1" x14ac:dyDescent="0.3">
      <c r="A1114" s="23"/>
      <c r="B1114"/>
    </row>
    <row r="1115" spans="1:2" ht="16.5" customHeight="1" x14ac:dyDescent="0.3">
      <c r="A1115" s="23"/>
      <c r="B1115"/>
    </row>
    <row r="1116" spans="1:2" ht="16.5" customHeight="1" x14ac:dyDescent="0.3">
      <c r="A1116" s="23"/>
      <c r="B1116"/>
    </row>
    <row r="1117" spans="1:2" ht="16.5" customHeight="1" x14ac:dyDescent="0.3">
      <c r="A1117" s="23"/>
      <c r="B1117"/>
    </row>
    <row r="1118" spans="1:2" ht="16.5" customHeight="1" x14ac:dyDescent="0.3">
      <c r="A1118" s="23"/>
      <c r="B1118"/>
    </row>
    <row r="1119" spans="1:2" ht="16.5" customHeight="1" x14ac:dyDescent="0.3">
      <c r="A1119" s="23"/>
      <c r="B1119"/>
    </row>
    <row r="1120" spans="1:2" ht="16.5" customHeight="1" x14ac:dyDescent="0.3">
      <c r="A1120" s="23"/>
      <c r="B1120"/>
    </row>
    <row r="1121" spans="1:2" ht="16.5" customHeight="1" x14ac:dyDescent="0.3">
      <c r="A1121" s="23"/>
      <c r="B1121"/>
    </row>
    <row r="1122" spans="1:2" ht="16.5" customHeight="1" x14ac:dyDescent="0.3">
      <c r="A1122" s="23"/>
      <c r="B1122"/>
    </row>
    <row r="1123" spans="1:2" ht="16.5" customHeight="1" x14ac:dyDescent="0.3">
      <c r="A1123" s="23"/>
      <c r="B1123"/>
    </row>
    <row r="1124" spans="1:2" ht="16.5" customHeight="1" x14ac:dyDescent="0.3">
      <c r="A1124" s="23"/>
      <c r="B1124"/>
    </row>
    <row r="1125" spans="1:2" ht="16.5" customHeight="1" x14ac:dyDescent="0.3">
      <c r="A1125" s="23"/>
      <c r="B1125"/>
    </row>
    <row r="1126" spans="1:2" ht="16.5" customHeight="1" x14ac:dyDescent="0.3">
      <c r="A1126" s="23"/>
      <c r="B1126"/>
    </row>
    <row r="1127" spans="1:2" ht="16.5" customHeight="1" x14ac:dyDescent="0.3">
      <c r="A1127" s="23"/>
      <c r="B1127"/>
    </row>
    <row r="1128" spans="1:2" ht="16.5" customHeight="1" x14ac:dyDescent="0.3">
      <c r="A1128" s="23"/>
      <c r="B1128"/>
    </row>
    <row r="1129" spans="1:2" ht="16.5" customHeight="1" x14ac:dyDescent="0.3">
      <c r="A1129" s="23"/>
      <c r="B1129"/>
    </row>
    <row r="1130" spans="1:2" ht="16.5" customHeight="1" x14ac:dyDescent="0.3">
      <c r="A1130" s="23"/>
      <c r="B1130"/>
    </row>
    <row r="1131" spans="1:2" ht="16.5" customHeight="1" x14ac:dyDescent="0.3">
      <c r="A1131" s="23"/>
      <c r="B1131"/>
    </row>
    <row r="1132" spans="1:2" ht="16.5" customHeight="1" x14ac:dyDescent="0.3">
      <c r="A1132" s="23"/>
      <c r="B1132"/>
    </row>
    <row r="1133" spans="1:2" ht="16.5" customHeight="1" x14ac:dyDescent="0.3">
      <c r="A1133" s="23"/>
      <c r="B1133"/>
    </row>
    <row r="1134" spans="1:2" ht="16.5" customHeight="1" x14ac:dyDescent="0.3">
      <c r="A1134" s="23"/>
      <c r="B1134"/>
    </row>
    <row r="1135" spans="1:2" ht="16.5" customHeight="1" x14ac:dyDescent="0.3">
      <c r="A1135" s="23"/>
      <c r="B1135"/>
    </row>
    <row r="1136" spans="1:2" ht="16.5" customHeight="1" x14ac:dyDescent="0.3">
      <c r="A1136" s="23"/>
      <c r="B1136"/>
    </row>
    <row r="1137" spans="1:2" ht="16.5" customHeight="1" x14ac:dyDescent="0.3">
      <c r="A1137" s="23"/>
      <c r="B1137"/>
    </row>
    <row r="1138" spans="1:2" ht="16.5" customHeight="1" x14ac:dyDescent="0.3">
      <c r="A1138" s="23"/>
      <c r="B1138"/>
    </row>
    <row r="1139" spans="1:2" ht="16.5" customHeight="1" x14ac:dyDescent="0.3">
      <c r="A1139" s="23"/>
      <c r="B1139"/>
    </row>
    <row r="1140" spans="1:2" ht="16.5" customHeight="1" x14ac:dyDescent="0.3">
      <c r="A1140" s="23"/>
      <c r="B1140"/>
    </row>
    <row r="1141" spans="1:2" ht="16.5" customHeight="1" x14ac:dyDescent="0.3">
      <c r="A1141" s="23"/>
      <c r="B1141"/>
    </row>
    <row r="1142" spans="1:2" ht="16.5" customHeight="1" x14ac:dyDescent="0.3">
      <c r="A1142" s="23"/>
      <c r="B1142"/>
    </row>
    <row r="1143" spans="1:2" ht="16.5" customHeight="1" x14ac:dyDescent="0.3">
      <c r="A1143" s="23"/>
      <c r="B1143"/>
    </row>
    <row r="1144" spans="1:2" ht="16.5" customHeight="1" x14ac:dyDescent="0.3">
      <c r="A1144" s="23"/>
      <c r="B1144"/>
    </row>
    <row r="1145" spans="1:2" ht="16.5" customHeight="1" x14ac:dyDescent="0.3">
      <c r="A1145" s="23"/>
      <c r="B1145"/>
    </row>
    <row r="1146" spans="1:2" ht="16.5" customHeight="1" x14ac:dyDescent="0.3">
      <c r="A1146" s="23"/>
      <c r="B1146"/>
    </row>
    <row r="1147" spans="1:2" ht="16.5" customHeight="1" x14ac:dyDescent="0.3">
      <c r="A1147" s="23"/>
      <c r="B1147"/>
    </row>
    <row r="1148" spans="1:2" ht="16.5" customHeight="1" x14ac:dyDescent="0.3">
      <c r="A1148" s="23"/>
      <c r="B1148"/>
    </row>
    <row r="1149" spans="1:2" ht="16.5" customHeight="1" x14ac:dyDescent="0.3">
      <c r="A1149" s="23"/>
      <c r="B1149"/>
    </row>
    <row r="1150" spans="1:2" ht="16.5" customHeight="1" x14ac:dyDescent="0.3">
      <c r="A1150" s="23"/>
      <c r="B1150"/>
    </row>
  </sheetData>
  <printOptions gridLines="1"/>
  <pageMargins left="0.7" right="0.7" top="0.75" bottom="0.75" header="0.3" footer="0.3"/>
  <pageSetup scal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2FF0-D544-4C7E-8DD4-F2DEC873EA36}">
  <dimension ref="A1:K22"/>
  <sheetViews>
    <sheetView workbookViewId="0">
      <selection activeCell="I8" sqref="I8"/>
    </sheetView>
  </sheetViews>
  <sheetFormatPr defaultRowHeight="12.5" x14ac:dyDescent="0.25"/>
  <cols>
    <col min="1" max="1" width="9.54296875" bestFit="1" customWidth="1"/>
    <col min="2" max="2" width="13.7265625" bestFit="1" customWidth="1"/>
    <col min="3" max="3" width="10.7265625" style="12" bestFit="1" customWidth="1"/>
    <col min="4" max="4" width="12.7265625" style="12" bestFit="1" customWidth="1"/>
    <col min="5" max="5" width="11.453125" style="26" bestFit="1" customWidth="1"/>
    <col min="7" max="7" width="13.81640625" bestFit="1" customWidth="1"/>
    <col min="9" max="9" width="15.36328125" bestFit="1" customWidth="1"/>
    <col min="11" max="11" width="14.36328125" style="12" bestFit="1" customWidth="1"/>
  </cols>
  <sheetData>
    <row r="1" spans="1:11" s="1" customFormat="1" ht="13" x14ac:dyDescent="0.3">
      <c r="B1" s="1" t="s">
        <v>63</v>
      </c>
      <c r="C1" s="11"/>
      <c r="D1" s="11"/>
      <c r="E1" s="27"/>
      <c r="K1" s="11"/>
    </row>
    <row r="2" spans="1:11" s="1" customFormat="1" ht="13" x14ac:dyDescent="0.3">
      <c r="A2" s="1" t="s">
        <v>69</v>
      </c>
      <c r="B2" s="1" t="s">
        <v>67</v>
      </c>
      <c r="C2" s="11" t="s">
        <v>65</v>
      </c>
      <c r="D2" s="11" t="s">
        <v>66</v>
      </c>
      <c r="E2" s="27" t="s">
        <v>71</v>
      </c>
      <c r="F2" s="1" t="s">
        <v>73</v>
      </c>
      <c r="K2" s="11"/>
    </row>
    <row r="3" spans="1:11" x14ac:dyDescent="0.25">
      <c r="A3" s="23">
        <v>45797</v>
      </c>
      <c r="B3" t="s">
        <v>68</v>
      </c>
      <c r="C3" s="12">
        <v>2454</v>
      </c>
      <c r="D3" s="12">
        <v>2381</v>
      </c>
      <c r="E3" s="26">
        <v>0.03</v>
      </c>
      <c r="F3" t="s">
        <v>74</v>
      </c>
    </row>
    <row r="4" spans="1:11" x14ac:dyDescent="0.25">
      <c r="A4" s="23">
        <v>45797</v>
      </c>
      <c r="B4" t="s">
        <v>70</v>
      </c>
      <c r="C4" s="12">
        <v>1857</v>
      </c>
      <c r="D4" s="12">
        <v>1838</v>
      </c>
      <c r="E4" s="26">
        <v>0.01</v>
      </c>
      <c r="F4" t="s">
        <v>74</v>
      </c>
    </row>
    <row r="5" spans="1:11" x14ac:dyDescent="0.25">
      <c r="A5" s="23">
        <v>45798</v>
      </c>
      <c r="B5" t="s">
        <v>72</v>
      </c>
      <c r="C5" s="12">
        <v>2355</v>
      </c>
      <c r="D5" s="12">
        <v>2331</v>
      </c>
      <c r="E5" s="26">
        <v>0.01</v>
      </c>
      <c r="F5" t="s">
        <v>74</v>
      </c>
    </row>
    <row r="6" spans="1:11" x14ac:dyDescent="0.25">
      <c r="A6" s="23">
        <v>45798</v>
      </c>
      <c r="B6" t="s">
        <v>85</v>
      </c>
      <c r="C6" s="12">
        <v>1747</v>
      </c>
      <c r="D6" s="12">
        <v>1695</v>
      </c>
      <c r="E6" s="26">
        <v>0.03</v>
      </c>
      <c r="F6" t="s">
        <v>74</v>
      </c>
    </row>
    <row r="7" spans="1:11" x14ac:dyDescent="0.25">
      <c r="A7" t="s">
        <v>76</v>
      </c>
      <c r="C7" s="12">
        <f>SUM(C3:C6)</f>
        <v>8413</v>
      </c>
      <c r="D7" s="12">
        <f>SUM(D3:D6)</f>
        <v>8245</v>
      </c>
      <c r="E7" s="26">
        <f>AVERAGE(E3:E6)</f>
        <v>0.02</v>
      </c>
    </row>
    <row r="9" spans="1:11" ht="13" x14ac:dyDescent="0.3">
      <c r="D9" s="11"/>
      <c r="G9" s="15"/>
    </row>
    <row r="10" spans="1:11" ht="13" x14ac:dyDescent="0.3">
      <c r="D10" s="11"/>
    </row>
    <row r="11" spans="1:11" ht="13" x14ac:dyDescent="0.3">
      <c r="D11" s="11"/>
    </row>
    <row r="12" spans="1:11" ht="13" x14ac:dyDescent="0.3">
      <c r="D12" s="11"/>
    </row>
    <row r="13" spans="1:11" ht="13" x14ac:dyDescent="0.3">
      <c r="D13" s="11"/>
    </row>
    <row r="14" spans="1:11" ht="13" x14ac:dyDescent="0.3">
      <c r="D14" s="11"/>
    </row>
    <row r="15" spans="1:11" ht="13" x14ac:dyDescent="0.3">
      <c r="D15" s="11"/>
      <c r="I15" s="12"/>
    </row>
    <row r="16" spans="1:11" ht="13" x14ac:dyDescent="0.3">
      <c r="K16" s="11"/>
    </row>
    <row r="21" spans="5:7" x14ac:dyDescent="0.25">
      <c r="E21" s="28"/>
    </row>
    <row r="22" spans="5:7" x14ac:dyDescent="0.25">
      <c r="G22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6BD5-A3CD-4B5F-B262-C0BA48959987}">
  <sheetPr>
    <pageSetUpPr fitToPage="1"/>
  </sheetPr>
  <dimension ref="A1:H1152"/>
  <sheetViews>
    <sheetView topLeftCell="A48" zoomScale="90" zoomScaleNormal="90" workbookViewId="0">
      <selection activeCell="E6" sqref="E6:E67"/>
    </sheetView>
  </sheetViews>
  <sheetFormatPr defaultColWidth="9.1796875" defaultRowHeight="13" x14ac:dyDescent="0.3"/>
  <cols>
    <col min="1" max="1" width="10.81640625" style="9" customWidth="1"/>
    <col min="2" max="2" width="9.54296875" style="10" bestFit="1" customWidth="1"/>
    <col min="3" max="3" width="59.54296875" bestFit="1" customWidth="1"/>
    <col min="4" max="4" width="15.54296875" style="11" bestFit="1" customWidth="1"/>
    <col min="5" max="5" width="14.54296875" style="12" bestFit="1" customWidth="1"/>
    <col min="6" max="6" width="14.7265625" style="8" customWidth="1"/>
    <col min="7" max="7" width="12.81640625" customWidth="1"/>
    <col min="8" max="8" width="15" bestFit="1" customWidth="1"/>
    <col min="9" max="10" width="14.54296875" bestFit="1" customWidth="1"/>
  </cols>
  <sheetData>
    <row r="1" spans="1:6" s="1" customFormat="1" ht="17" x14ac:dyDescent="0.6">
      <c r="A1" s="3"/>
      <c r="B1" s="33"/>
      <c r="C1" s="34" t="s">
        <v>1</v>
      </c>
      <c r="D1" s="13" t="s">
        <v>6</v>
      </c>
      <c r="E1" s="35" t="s">
        <v>7</v>
      </c>
      <c r="F1" s="36"/>
    </row>
    <row r="2" spans="1:6" s="1" customFormat="1" ht="14" x14ac:dyDescent="0.3">
      <c r="A2" s="3" t="s">
        <v>0</v>
      </c>
      <c r="B2" s="5" t="s">
        <v>2</v>
      </c>
      <c r="C2" s="34" t="s">
        <v>3</v>
      </c>
      <c r="D2" s="2" t="s">
        <v>4</v>
      </c>
      <c r="E2" s="11" t="s">
        <v>4</v>
      </c>
      <c r="F2" s="37" t="s">
        <v>5</v>
      </c>
    </row>
    <row r="3" spans="1:6" x14ac:dyDescent="0.3">
      <c r="C3" t="s">
        <v>8</v>
      </c>
      <c r="F3" s="8">
        <v>0</v>
      </c>
    </row>
    <row r="4" spans="1:6" s="1" customFormat="1" x14ac:dyDescent="0.3">
      <c r="A4" s="25"/>
      <c r="C4" s="1" t="s">
        <v>90</v>
      </c>
      <c r="D4" s="11"/>
      <c r="E4" s="11"/>
      <c r="F4" s="19">
        <f>F3+D4-E4</f>
        <v>0</v>
      </c>
    </row>
    <row r="5" spans="1:6" ht="16.5" customHeight="1" x14ac:dyDescent="0.3">
      <c r="A5" s="23">
        <v>45806</v>
      </c>
      <c r="B5"/>
      <c r="C5" t="s">
        <v>91</v>
      </c>
      <c r="D5" s="11">
        <v>1300000</v>
      </c>
      <c r="F5" s="8">
        <f>F4+D5-E5</f>
        <v>1300000</v>
      </c>
    </row>
    <row r="6" spans="1:6" ht="16.5" customHeight="1" x14ac:dyDescent="0.25">
      <c r="A6" s="23">
        <v>45808</v>
      </c>
      <c r="B6"/>
      <c r="C6" t="s">
        <v>92</v>
      </c>
      <c r="D6" s="24"/>
      <c r="E6" s="12">
        <v>200000</v>
      </c>
      <c r="F6" s="8">
        <f t="shared" ref="F6:F71" si="0">F5+D6-E6</f>
        <v>1100000</v>
      </c>
    </row>
    <row r="7" spans="1:6" ht="16.5" customHeight="1" x14ac:dyDescent="0.3">
      <c r="A7" s="23">
        <v>45808</v>
      </c>
      <c r="B7"/>
      <c r="C7" t="s">
        <v>171</v>
      </c>
      <c r="D7" s="11">
        <v>2000000</v>
      </c>
      <c r="F7" s="8">
        <f t="shared" si="0"/>
        <v>3100000</v>
      </c>
    </row>
    <row r="8" spans="1:6" ht="16.5" customHeight="1" x14ac:dyDescent="0.25">
      <c r="A8" s="23">
        <v>45808</v>
      </c>
      <c r="B8"/>
      <c r="C8" t="s">
        <v>93</v>
      </c>
      <c r="D8" s="24"/>
      <c r="E8" s="12">
        <v>15000</v>
      </c>
      <c r="F8" s="8">
        <f t="shared" si="0"/>
        <v>3085000</v>
      </c>
    </row>
    <row r="9" spans="1:6" ht="16.5" customHeight="1" x14ac:dyDescent="0.25">
      <c r="A9" s="23">
        <v>45808</v>
      </c>
      <c r="B9"/>
      <c r="C9" t="s">
        <v>94</v>
      </c>
      <c r="D9" s="24"/>
      <c r="E9" s="12">
        <v>10000</v>
      </c>
      <c r="F9" s="8">
        <f t="shared" si="0"/>
        <v>3075000</v>
      </c>
    </row>
    <row r="10" spans="1:6" ht="16.5" customHeight="1" x14ac:dyDescent="0.25">
      <c r="A10" s="23">
        <v>45808</v>
      </c>
      <c r="B10"/>
      <c r="C10" t="s">
        <v>95</v>
      </c>
      <c r="D10" s="24"/>
      <c r="E10" s="12">
        <v>19000</v>
      </c>
      <c r="F10" s="8">
        <f t="shared" si="0"/>
        <v>3056000</v>
      </c>
    </row>
    <row r="11" spans="1:6" ht="16.5" customHeight="1" x14ac:dyDescent="0.3">
      <c r="A11" s="23">
        <v>45808</v>
      </c>
      <c r="B11"/>
      <c r="C11" t="s">
        <v>96</v>
      </c>
      <c r="E11" s="12">
        <v>100000</v>
      </c>
      <c r="F11" s="8">
        <f t="shared" si="0"/>
        <v>2956000</v>
      </c>
    </row>
    <row r="12" spans="1:6" ht="16.5" customHeight="1" x14ac:dyDescent="0.3">
      <c r="A12" s="23">
        <v>45808</v>
      </c>
      <c r="B12"/>
      <c r="C12" t="s">
        <v>97</v>
      </c>
      <c r="E12" s="12">
        <v>184000</v>
      </c>
      <c r="F12" s="8">
        <f t="shared" si="0"/>
        <v>2772000</v>
      </c>
    </row>
    <row r="13" spans="1:6" ht="16.5" customHeight="1" x14ac:dyDescent="0.3">
      <c r="A13" s="23">
        <v>45808</v>
      </c>
      <c r="B13"/>
      <c r="C13" t="s">
        <v>98</v>
      </c>
      <c r="E13" s="12">
        <v>2000</v>
      </c>
      <c r="F13" s="8">
        <f t="shared" si="0"/>
        <v>2770000</v>
      </c>
    </row>
    <row r="14" spans="1:6" ht="16.5" customHeight="1" x14ac:dyDescent="0.3">
      <c r="A14" s="23">
        <v>45808</v>
      </c>
      <c r="B14"/>
      <c r="C14" t="s">
        <v>99</v>
      </c>
      <c r="E14" s="12">
        <v>135000</v>
      </c>
      <c r="F14" s="8">
        <f t="shared" si="0"/>
        <v>2635000</v>
      </c>
    </row>
    <row r="15" spans="1:6" ht="16.5" customHeight="1" x14ac:dyDescent="0.3">
      <c r="A15" s="23">
        <v>45809</v>
      </c>
      <c r="B15"/>
      <c r="C15" t="s">
        <v>100</v>
      </c>
      <c r="D15" s="11">
        <v>200000000</v>
      </c>
      <c r="F15" s="8">
        <f t="shared" si="0"/>
        <v>202635000</v>
      </c>
    </row>
    <row r="16" spans="1:6" ht="16.5" customHeight="1" x14ac:dyDescent="0.3">
      <c r="A16" s="23">
        <v>45809</v>
      </c>
      <c r="B16"/>
      <c r="C16" t="s">
        <v>101</v>
      </c>
      <c r="E16" s="12">
        <v>1030000</v>
      </c>
      <c r="F16" s="8">
        <f t="shared" si="0"/>
        <v>201605000</v>
      </c>
    </row>
    <row r="17" spans="1:6" ht="16.5" customHeight="1" x14ac:dyDescent="0.3">
      <c r="A17" s="23">
        <v>45809</v>
      </c>
      <c r="B17"/>
      <c r="C17" t="s">
        <v>102</v>
      </c>
      <c r="E17" s="12">
        <v>1000000</v>
      </c>
      <c r="F17" s="8">
        <f t="shared" si="0"/>
        <v>200605000</v>
      </c>
    </row>
    <row r="18" spans="1:6" ht="16.5" customHeight="1" x14ac:dyDescent="0.3">
      <c r="A18" s="23">
        <v>45809</v>
      </c>
      <c r="B18"/>
      <c r="C18" t="s">
        <v>103</v>
      </c>
      <c r="E18" s="12">
        <v>1000000</v>
      </c>
      <c r="F18" s="8">
        <f t="shared" si="0"/>
        <v>199605000</v>
      </c>
    </row>
    <row r="19" spans="1:6" ht="16.5" customHeight="1" x14ac:dyDescent="0.3">
      <c r="A19" s="23">
        <v>45809</v>
      </c>
      <c r="B19"/>
      <c r="C19" t="s">
        <v>104</v>
      </c>
      <c r="E19" s="12">
        <v>9300</v>
      </c>
      <c r="F19" s="8">
        <f t="shared" si="0"/>
        <v>199595700</v>
      </c>
    </row>
    <row r="20" spans="1:6" ht="16.5" customHeight="1" x14ac:dyDescent="0.3">
      <c r="A20" s="23">
        <v>45809</v>
      </c>
      <c r="B20"/>
      <c r="C20" t="s">
        <v>105</v>
      </c>
      <c r="E20" s="12">
        <v>2000</v>
      </c>
      <c r="F20" s="8">
        <f t="shared" si="0"/>
        <v>199593700</v>
      </c>
    </row>
    <row r="21" spans="1:6" ht="16.5" customHeight="1" x14ac:dyDescent="0.3">
      <c r="A21" s="23">
        <v>45809</v>
      </c>
      <c r="B21"/>
      <c r="C21" t="s">
        <v>106</v>
      </c>
      <c r="E21" s="12">
        <v>8000</v>
      </c>
      <c r="F21" s="8">
        <f t="shared" si="0"/>
        <v>199585700</v>
      </c>
    </row>
    <row r="22" spans="1:6" ht="16.5" customHeight="1" x14ac:dyDescent="0.3">
      <c r="A22" s="23">
        <v>45809</v>
      </c>
      <c r="B22"/>
      <c r="C22" t="s">
        <v>107</v>
      </c>
      <c r="E22" s="12">
        <v>6000</v>
      </c>
      <c r="F22" s="8">
        <f t="shared" si="0"/>
        <v>199579700</v>
      </c>
    </row>
    <row r="23" spans="1:6" ht="16.5" customHeight="1" x14ac:dyDescent="0.3">
      <c r="A23" s="23">
        <v>45809</v>
      </c>
      <c r="B23"/>
      <c r="C23" t="s">
        <v>108</v>
      </c>
      <c r="E23" s="12">
        <v>100000</v>
      </c>
      <c r="F23" s="8">
        <f t="shared" si="0"/>
        <v>199479700</v>
      </c>
    </row>
    <row r="24" spans="1:6" ht="16.5" customHeight="1" x14ac:dyDescent="0.3">
      <c r="A24" s="23">
        <v>45809</v>
      </c>
      <c r="B24"/>
      <c r="C24" t="s">
        <v>109</v>
      </c>
      <c r="E24" s="12">
        <v>30000</v>
      </c>
      <c r="F24" s="8">
        <f t="shared" si="0"/>
        <v>199449700</v>
      </c>
    </row>
    <row r="25" spans="1:6" ht="16.5" customHeight="1" x14ac:dyDescent="0.3">
      <c r="A25" s="23">
        <v>45809</v>
      </c>
      <c r="B25"/>
      <c r="C25" t="s">
        <v>97</v>
      </c>
      <c r="E25" s="12">
        <v>25000</v>
      </c>
      <c r="F25" s="8">
        <f t="shared" si="0"/>
        <v>199424700</v>
      </c>
    </row>
    <row r="26" spans="1:6" ht="16.5" customHeight="1" x14ac:dyDescent="0.3">
      <c r="A26" s="23">
        <v>45809</v>
      </c>
      <c r="B26"/>
      <c r="C26" t="s">
        <v>110</v>
      </c>
      <c r="E26" s="12">
        <v>32000000</v>
      </c>
      <c r="F26" s="8">
        <f t="shared" si="0"/>
        <v>167424700</v>
      </c>
    </row>
    <row r="27" spans="1:6" ht="16.5" customHeight="1" x14ac:dyDescent="0.3">
      <c r="A27" s="23">
        <v>45809</v>
      </c>
      <c r="B27"/>
      <c r="C27" t="s">
        <v>111</v>
      </c>
      <c r="E27" s="12">
        <v>10000000</v>
      </c>
      <c r="F27" s="8">
        <f t="shared" si="0"/>
        <v>157424700</v>
      </c>
    </row>
    <row r="28" spans="1:6" ht="16.5" customHeight="1" x14ac:dyDescent="0.3">
      <c r="A28" s="23">
        <v>45809</v>
      </c>
      <c r="B28"/>
      <c r="C28" t="s">
        <v>112</v>
      </c>
      <c r="E28" s="12">
        <v>10000000</v>
      </c>
      <c r="F28" s="8">
        <f t="shared" si="0"/>
        <v>147424700</v>
      </c>
    </row>
    <row r="29" spans="1:6" ht="16.5" customHeight="1" x14ac:dyDescent="0.3">
      <c r="A29" s="23">
        <v>45809</v>
      </c>
      <c r="B29"/>
      <c r="C29" t="s">
        <v>113</v>
      </c>
      <c r="E29" s="12">
        <v>20000000</v>
      </c>
      <c r="F29" s="8">
        <f t="shared" si="0"/>
        <v>127424700</v>
      </c>
    </row>
    <row r="30" spans="1:6" ht="16.5" customHeight="1" x14ac:dyDescent="0.3">
      <c r="A30" s="23">
        <v>45809</v>
      </c>
      <c r="B30"/>
      <c r="C30" t="s">
        <v>114</v>
      </c>
      <c r="E30" s="12">
        <v>50262800</v>
      </c>
      <c r="F30" s="8">
        <f t="shared" si="0"/>
        <v>77161900</v>
      </c>
    </row>
    <row r="31" spans="1:6" ht="16.5" customHeight="1" x14ac:dyDescent="0.3">
      <c r="A31" s="23">
        <v>45810</v>
      </c>
      <c r="B31"/>
      <c r="C31" t="s">
        <v>115</v>
      </c>
      <c r="E31" s="12">
        <v>21000</v>
      </c>
      <c r="F31" s="8">
        <f t="shared" si="0"/>
        <v>77140900</v>
      </c>
    </row>
    <row r="32" spans="1:6" ht="16.5" customHeight="1" x14ac:dyDescent="0.3">
      <c r="A32" s="23">
        <v>45810</v>
      </c>
      <c r="B32"/>
      <c r="C32" t="s">
        <v>116</v>
      </c>
      <c r="E32" s="12">
        <v>135000</v>
      </c>
      <c r="F32" s="8">
        <f t="shared" si="0"/>
        <v>77005900</v>
      </c>
    </row>
    <row r="33" spans="1:6" ht="16.5" customHeight="1" x14ac:dyDescent="0.3">
      <c r="A33" s="23">
        <v>45810</v>
      </c>
      <c r="B33"/>
      <c r="C33" t="s">
        <v>12</v>
      </c>
      <c r="E33" s="12">
        <v>300000</v>
      </c>
      <c r="F33" s="8">
        <f t="shared" si="0"/>
        <v>76705900</v>
      </c>
    </row>
    <row r="34" spans="1:6" ht="16.5" customHeight="1" x14ac:dyDescent="0.3">
      <c r="A34" s="23">
        <v>45810</v>
      </c>
      <c r="B34"/>
      <c r="C34" t="s">
        <v>117</v>
      </c>
      <c r="E34" s="12">
        <v>130000</v>
      </c>
      <c r="F34" s="8">
        <f t="shared" si="0"/>
        <v>76575900</v>
      </c>
    </row>
    <row r="35" spans="1:6" ht="16.5" customHeight="1" x14ac:dyDescent="0.3">
      <c r="A35" s="23">
        <v>45810</v>
      </c>
      <c r="B35"/>
      <c r="C35" t="s">
        <v>118</v>
      </c>
      <c r="E35" s="12">
        <v>500000</v>
      </c>
      <c r="F35" s="8">
        <f t="shared" si="0"/>
        <v>76075900</v>
      </c>
    </row>
    <row r="36" spans="1:6" ht="16.5" customHeight="1" x14ac:dyDescent="0.3">
      <c r="A36" s="23">
        <v>45810</v>
      </c>
      <c r="B36"/>
      <c r="C36" t="s">
        <v>119</v>
      </c>
      <c r="E36" s="12">
        <v>30000</v>
      </c>
      <c r="F36" s="8">
        <f t="shared" si="0"/>
        <v>76045900</v>
      </c>
    </row>
    <row r="37" spans="1:6" ht="16.5" customHeight="1" x14ac:dyDescent="0.3">
      <c r="A37" s="23">
        <v>45810</v>
      </c>
      <c r="B37"/>
      <c r="C37" t="s">
        <v>120</v>
      </c>
      <c r="E37" s="12">
        <v>10000</v>
      </c>
      <c r="F37" s="8">
        <f t="shared" si="0"/>
        <v>76035900</v>
      </c>
    </row>
    <row r="38" spans="1:6" ht="16.5" customHeight="1" x14ac:dyDescent="0.3">
      <c r="A38" s="23">
        <v>45810</v>
      </c>
      <c r="B38"/>
      <c r="C38" t="s">
        <v>121</v>
      </c>
      <c r="E38" s="12">
        <v>20000</v>
      </c>
      <c r="F38" s="8">
        <f t="shared" si="0"/>
        <v>76015900</v>
      </c>
    </row>
    <row r="39" spans="1:6" ht="16.5" customHeight="1" x14ac:dyDescent="0.3">
      <c r="A39" s="23">
        <v>45810</v>
      </c>
      <c r="B39"/>
      <c r="C39" t="s">
        <v>122</v>
      </c>
      <c r="E39" s="12">
        <v>9802000</v>
      </c>
      <c r="F39" s="8">
        <f t="shared" si="0"/>
        <v>66213900</v>
      </c>
    </row>
    <row r="40" spans="1:6" ht="16.5" customHeight="1" x14ac:dyDescent="0.3">
      <c r="A40" s="23">
        <v>45810</v>
      </c>
      <c r="B40"/>
      <c r="C40" t="s">
        <v>123</v>
      </c>
      <c r="E40" s="12">
        <v>40388000</v>
      </c>
      <c r="F40" s="8">
        <f t="shared" si="0"/>
        <v>25825900</v>
      </c>
    </row>
    <row r="41" spans="1:6" ht="16.5" customHeight="1" x14ac:dyDescent="0.3">
      <c r="A41" s="23">
        <v>45810</v>
      </c>
      <c r="B41"/>
      <c r="C41" t="s">
        <v>124</v>
      </c>
      <c r="D41" s="11">
        <v>32000000</v>
      </c>
      <c r="F41" s="8">
        <f t="shared" si="0"/>
        <v>57825900</v>
      </c>
    </row>
    <row r="42" spans="1:6" ht="16.5" customHeight="1" x14ac:dyDescent="0.3">
      <c r="A42" s="23">
        <v>45810</v>
      </c>
      <c r="B42"/>
      <c r="C42" t="s">
        <v>125</v>
      </c>
      <c r="D42" s="11">
        <v>10000000</v>
      </c>
      <c r="F42" s="8">
        <f t="shared" si="0"/>
        <v>67825900</v>
      </c>
    </row>
    <row r="43" spans="1:6" ht="16.5" customHeight="1" x14ac:dyDescent="0.3">
      <c r="A43" s="23">
        <v>45810</v>
      </c>
      <c r="B43"/>
      <c r="C43" t="s">
        <v>125</v>
      </c>
      <c r="D43" s="11">
        <v>3000000</v>
      </c>
      <c r="F43" s="8">
        <f t="shared" si="0"/>
        <v>70825900</v>
      </c>
    </row>
    <row r="44" spans="1:6" ht="16.5" customHeight="1" x14ac:dyDescent="0.3">
      <c r="A44" s="23">
        <v>45810</v>
      </c>
      <c r="B44"/>
      <c r="C44" t="s">
        <v>126</v>
      </c>
      <c r="E44" s="12">
        <v>14091400</v>
      </c>
      <c r="F44" s="8">
        <f t="shared" si="0"/>
        <v>56734500</v>
      </c>
    </row>
    <row r="45" spans="1:6" ht="16.5" customHeight="1" x14ac:dyDescent="0.3">
      <c r="A45" s="23">
        <v>45810</v>
      </c>
      <c r="B45"/>
      <c r="C45" t="s">
        <v>127</v>
      </c>
      <c r="D45" s="16"/>
      <c r="E45" s="17">
        <v>25797600</v>
      </c>
      <c r="F45" s="8">
        <f t="shared" si="0"/>
        <v>30936900</v>
      </c>
    </row>
    <row r="46" spans="1:6" ht="16.5" customHeight="1" x14ac:dyDescent="0.3">
      <c r="A46" s="23">
        <v>45810</v>
      </c>
      <c r="B46"/>
      <c r="C46" t="s">
        <v>128</v>
      </c>
      <c r="E46" s="12">
        <v>2466000</v>
      </c>
      <c r="F46" s="8">
        <f t="shared" si="0"/>
        <v>28470900</v>
      </c>
    </row>
    <row r="47" spans="1:6" ht="16.5" customHeight="1" x14ac:dyDescent="0.3">
      <c r="A47" s="23">
        <v>45810</v>
      </c>
      <c r="B47"/>
      <c r="C47" t="s">
        <v>129</v>
      </c>
      <c r="D47" s="16"/>
      <c r="E47" s="17">
        <v>25303950</v>
      </c>
      <c r="F47" s="8">
        <f t="shared" si="0"/>
        <v>3166950</v>
      </c>
    </row>
    <row r="48" spans="1:6" ht="16.5" customHeight="1" x14ac:dyDescent="0.3">
      <c r="A48" s="23">
        <v>45810</v>
      </c>
      <c r="B48"/>
      <c r="C48" t="s">
        <v>130</v>
      </c>
      <c r="E48" s="12">
        <v>20000</v>
      </c>
      <c r="F48" s="8">
        <f t="shared" si="0"/>
        <v>3146950</v>
      </c>
    </row>
    <row r="49" spans="1:8" ht="16.5" customHeight="1" x14ac:dyDescent="0.3">
      <c r="A49" s="23">
        <v>45810</v>
      </c>
      <c r="B49"/>
      <c r="C49" t="s">
        <v>131</v>
      </c>
      <c r="E49" s="12">
        <v>30000</v>
      </c>
      <c r="F49" s="8">
        <f t="shared" si="0"/>
        <v>3116950</v>
      </c>
    </row>
    <row r="50" spans="1:8" ht="16.5" customHeight="1" x14ac:dyDescent="0.3">
      <c r="A50" s="23">
        <v>45810</v>
      </c>
      <c r="B50"/>
      <c r="C50" t="s">
        <v>130</v>
      </c>
      <c r="E50" s="12">
        <v>210000</v>
      </c>
      <c r="F50" s="8">
        <f t="shared" si="0"/>
        <v>2906950</v>
      </c>
      <c r="H50" s="15"/>
    </row>
    <row r="51" spans="1:8" ht="16.5" customHeight="1" x14ac:dyDescent="0.3">
      <c r="A51" s="23">
        <v>45810</v>
      </c>
      <c r="B51"/>
      <c r="C51" t="s">
        <v>132</v>
      </c>
      <c r="E51" s="12">
        <v>30000</v>
      </c>
      <c r="F51" s="8">
        <f t="shared" si="0"/>
        <v>2876950</v>
      </c>
      <c r="H51" s="15"/>
    </row>
    <row r="52" spans="1:8" ht="16.5" customHeight="1" x14ac:dyDescent="0.3">
      <c r="A52" s="23">
        <v>45810</v>
      </c>
      <c r="B52"/>
      <c r="C52" t="s">
        <v>133</v>
      </c>
      <c r="E52" s="12">
        <v>1200000</v>
      </c>
      <c r="F52" s="8">
        <f t="shared" si="0"/>
        <v>1676950</v>
      </c>
      <c r="H52" s="15"/>
    </row>
    <row r="53" spans="1:8" ht="16.5" customHeight="1" x14ac:dyDescent="0.3">
      <c r="A53" s="23">
        <v>45810</v>
      </c>
      <c r="B53"/>
      <c r="C53" t="s">
        <v>134</v>
      </c>
      <c r="E53" s="12">
        <v>100000</v>
      </c>
      <c r="F53" s="8">
        <f t="shared" si="0"/>
        <v>1576950</v>
      </c>
      <c r="H53" s="15"/>
    </row>
    <row r="54" spans="1:8" ht="16.5" customHeight="1" x14ac:dyDescent="0.3">
      <c r="A54" s="23">
        <v>45810</v>
      </c>
      <c r="B54"/>
      <c r="C54" t="s">
        <v>135</v>
      </c>
      <c r="E54" s="12">
        <v>300000</v>
      </c>
      <c r="F54" s="8">
        <f t="shared" si="0"/>
        <v>1276950</v>
      </c>
    </row>
    <row r="55" spans="1:8" ht="16.5" customHeight="1" x14ac:dyDescent="0.3">
      <c r="A55" s="23">
        <v>45812</v>
      </c>
      <c r="B55"/>
      <c r="C55" t="s">
        <v>159</v>
      </c>
      <c r="E55" s="12">
        <v>4476050</v>
      </c>
      <c r="F55" s="8">
        <f t="shared" si="0"/>
        <v>-3199100</v>
      </c>
    </row>
    <row r="56" spans="1:8" ht="16.5" customHeight="1" x14ac:dyDescent="0.3">
      <c r="A56" s="23">
        <v>45812</v>
      </c>
      <c r="B56"/>
      <c r="C56" t="s">
        <v>160</v>
      </c>
      <c r="E56" s="12">
        <v>100000</v>
      </c>
      <c r="F56" s="8">
        <f t="shared" si="0"/>
        <v>-3299100</v>
      </c>
    </row>
    <row r="57" spans="1:8" ht="16.5" customHeight="1" x14ac:dyDescent="0.3">
      <c r="A57" s="23">
        <v>45812</v>
      </c>
      <c r="B57"/>
      <c r="C57" t="s">
        <v>161</v>
      </c>
      <c r="E57" s="12">
        <v>400000</v>
      </c>
      <c r="F57" s="8">
        <f t="shared" si="0"/>
        <v>-3699100</v>
      </c>
    </row>
    <row r="58" spans="1:8" ht="16.5" customHeight="1" x14ac:dyDescent="0.3">
      <c r="A58" s="23">
        <v>45812</v>
      </c>
      <c r="B58"/>
      <c r="C58" t="s">
        <v>162</v>
      </c>
      <c r="E58" s="12">
        <v>28000</v>
      </c>
      <c r="F58" s="8">
        <f t="shared" si="0"/>
        <v>-3727100</v>
      </c>
    </row>
    <row r="59" spans="1:8" ht="16.5" customHeight="1" x14ac:dyDescent="0.3">
      <c r="A59" s="23">
        <v>45812</v>
      </c>
      <c r="B59"/>
      <c r="C59" t="s">
        <v>163</v>
      </c>
      <c r="E59" s="12">
        <v>20000</v>
      </c>
      <c r="F59" s="8">
        <f t="shared" si="0"/>
        <v>-3747100</v>
      </c>
    </row>
    <row r="60" spans="1:8" ht="16.5" customHeight="1" x14ac:dyDescent="0.3">
      <c r="A60" s="23">
        <v>45812</v>
      </c>
      <c r="B60"/>
      <c r="C60" t="s">
        <v>164</v>
      </c>
      <c r="E60" s="12">
        <v>39000</v>
      </c>
      <c r="F60" s="8">
        <f t="shared" si="0"/>
        <v>-3786100</v>
      </c>
    </row>
    <row r="61" spans="1:8" ht="16.5" customHeight="1" x14ac:dyDescent="0.3">
      <c r="A61" s="23">
        <v>45812</v>
      </c>
      <c r="B61"/>
      <c r="C61" t="s">
        <v>167</v>
      </c>
      <c r="D61" s="11">
        <v>4476050</v>
      </c>
      <c r="F61" s="8">
        <f t="shared" si="0"/>
        <v>689950</v>
      </c>
    </row>
    <row r="62" spans="1:8" ht="16.5" customHeight="1" x14ac:dyDescent="0.3">
      <c r="A62" s="23">
        <v>45813</v>
      </c>
      <c r="B62"/>
      <c r="C62" t="s">
        <v>168</v>
      </c>
      <c r="E62" s="12">
        <v>30000</v>
      </c>
      <c r="F62" s="8">
        <f t="shared" si="0"/>
        <v>659950</v>
      </c>
    </row>
    <row r="63" spans="1:8" s="1" customFormat="1" ht="16.5" customHeight="1" x14ac:dyDescent="0.3">
      <c r="A63" s="23">
        <v>45813</v>
      </c>
      <c r="C63" t="s">
        <v>169</v>
      </c>
      <c r="D63" s="24"/>
      <c r="E63" s="24">
        <v>30000</v>
      </c>
      <c r="F63" s="18">
        <f t="shared" si="0"/>
        <v>629950</v>
      </c>
    </row>
    <row r="64" spans="1:8" s="1" customFormat="1" ht="16.5" customHeight="1" x14ac:dyDescent="0.3">
      <c r="A64" s="23">
        <v>45813</v>
      </c>
      <c r="C64" t="s">
        <v>172</v>
      </c>
      <c r="D64" s="11">
        <v>1200050</v>
      </c>
      <c r="E64" s="24"/>
      <c r="F64" s="18">
        <f t="shared" si="0"/>
        <v>1830000</v>
      </c>
    </row>
    <row r="65" spans="1:7" ht="16.5" customHeight="1" x14ac:dyDescent="0.3">
      <c r="A65" s="23">
        <v>45813</v>
      </c>
      <c r="B65"/>
      <c r="C65" t="s">
        <v>170</v>
      </c>
      <c r="D65" s="11">
        <v>1370050</v>
      </c>
      <c r="F65" s="18">
        <f t="shared" si="0"/>
        <v>3200050</v>
      </c>
    </row>
    <row r="66" spans="1:7" ht="16.5" customHeight="1" x14ac:dyDescent="0.3">
      <c r="A66" s="23">
        <v>45813</v>
      </c>
      <c r="B66"/>
      <c r="C66" t="s">
        <v>173</v>
      </c>
      <c r="E66" s="12">
        <v>3200050</v>
      </c>
      <c r="F66" s="8">
        <f t="shared" si="0"/>
        <v>0</v>
      </c>
    </row>
    <row r="67" spans="1:7" ht="16.5" customHeight="1" x14ac:dyDescent="0.3">
      <c r="A67" s="23">
        <v>45813</v>
      </c>
      <c r="B67"/>
      <c r="C67" t="s">
        <v>174</v>
      </c>
      <c r="E67" s="12">
        <f>13800+13800+2300+13800</f>
        <v>43700</v>
      </c>
      <c r="F67" s="8">
        <f t="shared" si="0"/>
        <v>-43700</v>
      </c>
    </row>
    <row r="68" spans="1:7" ht="16.5" customHeight="1" x14ac:dyDescent="0.3">
      <c r="A68" s="23">
        <v>45813</v>
      </c>
      <c r="B68"/>
      <c r="F68" s="8">
        <f t="shared" si="0"/>
        <v>-43700</v>
      </c>
    </row>
    <row r="69" spans="1:7" ht="16.5" customHeight="1" x14ac:dyDescent="0.3">
      <c r="A69" s="23">
        <v>45813</v>
      </c>
      <c r="B69"/>
      <c r="F69" s="8">
        <f t="shared" si="0"/>
        <v>-43700</v>
      </c>
    </row>
    <row r="70" spans="1:7" ht="16.5" customHeight="1" x14ac:dyDescent="0.3">
      <c r="A70" s="23">
        <v>45813</v>
      </c>
      <c r="B70"/>
      <c r="F70" s="8">
        <f t="shared" si="0"/>
        <v>-43700</v>
      </c>
    </row>
    <row r="71" spans="1:7" ht="16.5" customHeight="1" x14ac:dyDescent="0.3">
      <c r="A71" s="23">
        <v>45813</v>
      </c>
      <c r="B71"/>
      <c r="F71" s="8">
        <f t="shared" si="0"/>
        <v>-43700</v>
      </c>
    </row>
    <row r="72" spans="1:7" ht="16.5" customHeight="1" x14ac:dyDescent="0.3">
      <c r="A72" s="23">
        <v>45813</v>
      </c>
      <c r="B72"/>
      <c r="F72" s="8">
        <f t="shared" ref="F72:F132" si="1">F71+D72-E72</f>
        <v>-43700</v>
      </c>
    </row>
    <row r="73" spans="1:7" ht="16.5" customHeight="1" x14ac:dyDescent="0.3">
      <c r="A73" s="23">
        <v>45813</v>
      </c>
      <c r="B73"/>
      <c r="F73" s="8">
        <f t="shared" si="1"/>
        <v>-43700</v>
      </c>
    </row>
    <row r="74" spans="1:7" ht="16.5" customHeight="1" x14ac:dyDescent="0.3">
      <c r="A74" s="23">
        <v>45813</v>
      </c>
      <c r="B74"/>
      <c r="F74" s="8">
        <f t="shared" si="1"/>
        <v>-43700</v>
      </c>
    </row>
    <row r="75" spans="1:7" ht="16.5" customHeight="1" x14ac:dyDescent="0.3">
      <c r="A75" s="23">
        <v>45813</v>
      </c>
      <c r="B75"/>
      <c r="F75" s="8">
        <f t="shared" si="1"/>
        <v>-43700</v>
      </c>
    </row>
    <row r="76" spans="1:7" ht="16.5" customHeight="1" x14ac:dyDescent="0.3">
      <c r="A76" s="23">
        <v>45813</v>
      </c>
      <c r="B76"/>
      <c r="F76" s="8">
        <f t="shared" si="1"/>
        <v>-43700</v>
      </c>
    </row>
    <row r="77" spans="1:7" ht="16.5" customHeight="1" x14ac:dyDescent="0.3">
      <c r="A77" s="23">
        <v>45813</v>
      </c>
      <c r="B77"/>
      <c r="F77" s="8">
        <f t="shared" si="1"/>
        <v>-43700</v>
      </c>
    </row>
    <row r="78" spans="1:7" ht="16.5" customHeight="1" x14ac:dyDescent="0.3">
      <c r="A78" s="23">
        <v>45813</v>
      </c>
      <c r="B78"/>
      <c r="F78" s="8">
        <f t="shared" si="1"/>
        <v>-43700</v>
      </c>
      <c r="G78" s="15"/>
    </row>
    <row r="79" spans="1:7" ht="16.5" customHeight="1" x14ac:dyDescent="0.3">
      <c r="A79" s="23">
        <v>45813</v>
      </c>
      <c r="B79"/>
      <c r="F79" s="8">
        <f t="shared" si="1"/>
        <v>-43700</v>
      </c>
    </row>
    <row r="80" spans="1:7" ht="16.5" customHeight="1" x14ac:dyDescent="0.3">
      <c r="A80" s="23">
        <v>45813</v>
      </c>
      <c r="B80"/>
      <c r="F80" s="8">
        <f t="shared" si="1"/>
        <v>-43700</v>
      </c>
    </row>
    <row r="81" spans="1:6" ht="16.5" customHeight="1" x14ac:dyDescent="0.3">
      <c r="A81" s="23">
        <v>45813</v>
      </c>
      <c r="B81"/>
      <c r="F81" s="8">
        <f t="shared" si="1"/>
        <v>-43700</v>
      </c>
    </row>
    <row r="82" spans="1:6" ht="16.5" customHeight="1" x14ac:dyDescent="0.3">
      <c r="A82" s="23">
        <v>45813</v>
      </c>
      <c r="B82"/>
      <c r="F82" s="8">
        <f t="shared" si="1"/>
        <v>-43700</v>
      </c>
    </row>
    <row r="83" spans="1:6" ht="16.5" customHeight="1" x14ac:dyDescent="0.3">
      <c r="A83" s="23">
        <v>45813</v>
      </c>
      <c r="B83"/>
      <c r="F83" s="8">
        <f t="shared" si="1"/>
        <v>-43700</v>
      </c>
    </row>
    <row r="84" spans="1:6" ht="16.5" customHeight="1" x14ac:dyDescent="0.3">
      <c r="A84" s="23">
        <v>45813</v>
      </c>
      <c r="B84"/>
      <c r="D84" s="16"/>
      <c r="E84" s="17"/>
      <c r="F84" s="8">
        <f t="shared" si="1"/>
        <v>-43700</v>
      </c>
    </row>
    <row r="85" spans="1:6" ht="16.5" customHeight="1" x14ac:dyDescent="0.3">
      <c r="A85" s="23">
        <v>45813</v>
      </c>
      <c r="B85"/>
      <c r="D85" s="16"/>
      <c r="E85" s="17"/>
      <c r="F85" s="8">
        <f t="shared" si="1"/>
        <v>-43700</v>
      </c>
    </row>
    <row r="86" spans="1:6" ht="16.5" customHeight="1" x14ac:dyDescent="0.3">
      <c r="A86" s="23">
        <v>45813</v>
      </c>
      <c r="B86"/>
      <c r="F86" s="8">
        <f t="shared" si="1"/>
        <v>-43700</v>
      </c>
    </row>
    <row r="87" spans="1:6" ht="16.5" customHeight="1" x14ac:dyDescent="0.3">
      <c r="A87" s="23">
        <v>45813</v>
      </c>
      <c r="B87"/>
      <c r="F87" s="8">
        <f t="shared" si="1"/>
        <v>-43700</v>
      </c>
    </row>
    <row r="88" spans="1:6" ht="16.5" customHeight="1" x14ac:dyDescent="0.3">
      <c r="A88" s="23">
        <v>45813</v>
      </c>
      <c r="B88"/>
      <c r="C88" s="15"/>
      <c r="F88" s="8">
        <f t="shared" si="1"/>
        <v>-43700</v>
      </c>
    </row>
    <row r="89" spans="1:6" ht="16.5" customHeight="1" x14ac:dyDescent="0.3">
      <c r="A89" s="23">
        <v>45813</v>
      </c>
      <c r="B89"/>
      <c r="F89" s="8">
        <f t="shared" si="1"/>
        <v>-43700</v>
      </c>
    </row>
    <row r="90" spans="1:6" ht="16.5" customHeight="1" x14ac:dyDescent="0.3">
      <c r="A90" s="23">
        <v>45813</v>
      </c>
      <c r="B90"/>
      <c r="D90" s="31"/>
      <c r="F90" s="8">
        <f t="shared" si="1"/>
        <v>-43700</v>
      </c>
    </row>
    <row r="91" spans="1:6" ht="16.5" customHeight="1" x14ac:dyDescent="0.3">
      <c r="A91" s="23">
        <v>45813</v>
      </c>
      <c r="B91"/>
      <c r="F91" s="8">
        <f t="shared" si="1"/>
        <v>-43700</v>
      </c>
    </row>
    <row r="92" spans="1:6" ht="16.5" customHeight="1" x14ac:dyDescent="0.3">
      <c r="A92" s="23">
        <v>45813</v>
      </c>
      <c r="B92"/>
      <c r="D92" s="30"/>
      <c r="F92" s="8">
        <f t="shared" si="1"/>
        <v>-43700</v>
      </c>
    </row>
    <row r="93" spans="1:6" ht="16.5" customHeight="1" x14ac:dyDescent="0.3">
      <c r="A93" s="23">
        <v>45813</v>
      </c>
      <c r="B93"/>
      <c r="F93" s="8">
        <f t="shared" si="1"/>
        <v>-43700</v>
      </c>
    </row>
    <row r="94" spans="1:6" ht="16.5" customHeight="1" x14ac:dyDescent="0.3">
      <c r="A94" s="23">
        <v>45813</v>
      </c>
      <c r="B94"/>
      <c r="F94" s="8">
        <f t="shared" si="1"/>
        <v>-43700</v>
      </c>
    </row>
    <row r="95" spans="1:6" ht="16.5" customHeight="1" x14ac:dyDescent="0.3">
      <c r="A95" s="23">
        <v>45813</v>
      </c>
      <c r="B95"/>
      <c r="F95" s="8">
        <f t="shared" si="1"/>
        <v>-43700</v>
      </c>
    </row>
    <row r="96" spans="1:6" ht="16.5" customHeight="1" x14ac:dyDescent="0.3">
      <c r="A96" s="23">
        <v>45813</v>
      </c>
      <c r="B96"/>
      <c r="F96" s="8">
        <f t="shared" si="1"/>
        <v>-43700</v>
      </c>
    </row>
    <row r="97" spans="1:6" ht="16.5" customHeight="1" x14ac:dyDescent="0.3">
      <c r="A97" s="23">
        <v>45813</v>
      </c>
      <c r="B97"/>
      <c r="F97" s="8">
        <f t="shared" si="1"/>
        <v>-43700</v>
      </c>
    </row>
    <row r="98" spans="1:6" ht="16.5" customHeight="1" x14ac:dyDescent="0.3">
      <c r="A98" s="23">
        <v>45813</v>
      </c>
      <c r="B98"/>
      <c r="F98" s="8">
        <f t="shared" si="1"/>
        <v>-43700</v>
      </c>
    </row>
    <row r="99" spans="1:6" ht="16.5" customHeight="1" x14ac:dyDescent="0.3">
      <c r="A99" s="23">
        <v>45813</v>
      </c>
      <c r="B99"/>
      <c r="F99" s="8">
        <f t="shared" si="1"/>
        <v>-43700</v>
      </c>
    </row>
    <row r="100" spans="1:6" ht="16.5" customHeight="1" x14ac:dyDescent="0.3">
      <c r="A100" s="23">
        <v>45813</v>
      </c>
      <c r="B100"/>
      <c r="F100" s="8">
        <f t="shared" si="1"/>
        <v>-43700</v>
      </c>
    </row>
    <row r="101" spans="1:6" ht="16.5" customHeight="1" x14ac:dyDescent="0.3">
      <c r="A101" s="23">
        <v>45813</v>
      </c>
      <c r="B101"/>
      <c r="F101" s="8">
        <f t="shared" si="1"/>
        <v>-43700</v>
      </c>
    </row>
    <row r="102" spans="1:6" ht="16.5" customHeight="1" x14ac:dyDescent="0.3">
      <c r="A102" s="23">
        <v>45813</v>
      </c>
      <c r="B102"/>
      <c r="F102" s="8">
        <f t="shared" si="1"/>
        <v>-43700</v>
      </c>
    </row>
    <row r="103" spans="1:6" ht="16.5" customHeight="1" x14ac:dyDescent="0.3">
      <c r="A103" s="23">
        <v>45813</v>
      </c>
      <c r="B103"/>
      <c r="F103" s="8">
        <f t="shared" si="1"/>
        <v>-43700</v>
      </c>
    </row>
    <row r="104" spans="1:6" ht="16.5" customHeight="1" x14ac:dyDescent="0.3">
      <c r="A104" s="23">
        <v>45813</v>
      </c>
      <c r="B104"/>
      <c r="F104" s="8">
        <f t="shared" si="1"/>
        <v>-43700</v>
      </c>
    </row>
    <row r="105" spans="1:6" ht="16.5" customHeight="1" x14ac:dyDescent="0.3">
      <c r="A105" s="23">
        <v>45813</v>
      </c>
      <c r="B105"/>
      <c r="F105" s="8">
        <f t="shared" si="1"/>
        <v>-43700</v>
      </c>
    </row>
    <row r="106" spans="1:6" ht="16.5" customHeight="1" x14ac:dyDescent="0.3">
      <c r="A106" s="23">
        <v>45813</v>
      </c>
      <c r="B106"/>
      <c r="F106" s="8">
        <f t="shared" si="1"/>
        <v>-43700</v>
      </c>
    </row>
    <row r="107" spans="1:6" ht="16.5" customHeight="1" x14ac:dyDescent="0.3">
      <c r="A107" s="23">
        <v>45813</v>
      </c>
      <c r="B107"/>
      <c r="F107" s="8">
        <f t="shared" si="1"/>
        <v>-43700</v>
      </c>
    </row>
    <row r="108" spans="1:6" ht="16.5" customHeight="1" x14ac:dyDescent="0.3">
      <c r="A108" s="23">
        <v>45813</v>
      </c>
      <c r="B108"/>
      <c r="F108" s="8">
        <f t="shared" si="1"/>
        <v>-43700</v>
      </c>
    </row>
    <row r="109" spans="1:6" ht="16.5" customHeight="1" x14ac:dyDescent="0.3">
      <c r="A109" s="23">
        <v>45813</v>
      </c>
      <c r="B109"/>
      <c r="F109" s="8">
        <f t="shared" si="1"/>
        <v>-43700</v>
      </c>
    </row>
    <row r="110" spans="1:6" ht="16.5" customHeight="1" x14ac:dyDescent="0.3">
      <c r="A110" s="23">
        <v>45813</v>
      </c>
      <c r="B110"/>
      <c r="F110" s="8">
        <f t="shared" si="1"/>
        <v>-43700</v>
      </c>
    </row>
    <row r="111" spans="1:6" ht="16.5" customHeight="1" x14ac:dyDescent="0.3">
      <c r="A111" s="23">
        <v>45813</v>
      </c>
      <c r="B111"/>
      <c r="F111" s="8">
        <f t="shared" si="1"/>
        <v>-43700</v>
      </c>
    </row>
    <row r="112" spans="1:6" ht="16.5" customHeight="1" x14ac:dyDescent="0.3">
      <c r="A112" s="23">
        <v>45813</v>
      </c>
      <c r="B112"/>
      <c r="F112" s="8">
        <f t="shared" si="1"/>
        <v>-43700</v>
      </c>
    </row>
    <row r="113" spans="1:6" ht="16.5" customHeight="1" x14ac:dyDescent="0.3">
      <c r="A113" s="23">
        <v>45813</v>
      </c>
      <c r="B113"/>
      <c r="F113" s="8">
        <f t="shared" si="1"/>
        <v>-43700</v>
      </c>
    </row>
    <row r="114" spans="1:6" ht="16.5" customHeight="1" x14ac:dyDescent="0.3">
      <c r="A114" s="23">
        <v>45813</v>
      </c>
      <c r="B114"/>
      <c r="F114" s="8">
        <f t="shared" si="1"/>
        <v>-43700</v>
      </c>
    </row>
    <row r="115" spans="1:6" ht="16.5" customHeight="1" x14ac:dyDescent="0.3">
      <c r="A115" s="23">
        <v>45813</v>
      </c>
      <c r="B115"/>
      <c r="F115" s="8">
        <f t="shared" si="1"/>
        <v>-43700</v>
      </c>
    </row>
    <row r="116" spans="1:6" ht="16.5" customHeight="1" x14ac:dyDescent="0.3">
      <c r="A116" s="23">
        <v>45813</v>
      </c>
      <c r="B116"/>
      <c r="F116" s="8">
        <f t="shared" si="1"/>
        <v>-43700</v>
      </c>
    </row>
    <row r="117" spans="1:6" ht="16.5" customHeight="1" x14ac:dyDescent="0.3">
      <c r="A117" s="23">
        <v>45813</v>
      </c>
      <c r="B117"/>
      <c r="F117" s="8">
        <f t="shared" si="1"/>
        <v>-43700</v>
      </c>
    </row>
    <row r="118" spans="1:6" ht="16.5" customHeight="1" x14ac:dyDescent="0.3">
      <c r="A118" s="23">
        <v>45813</v>
      </c>
      <c r="B118"/>
      <c r="F118" s="8">
        <f t="shared" si="1"/>
        <v>-43700</v>
      </c>
    </row>
    <row r="119" spans="1:6" ht="16.5" customHeight="1" x14ac:dyDescent="0.3">
      <c r="A119" s="23">
        <v>45813</v>
      </c>
      <c r="B119"/>
      <c r="F119" s="8">
        <f t="shared" si="1"/>
        <v>-43700</v>
      </c>
    </row>
    <row r="120" spans="1:6" ht="16.5" customHeight="1" x14ac:dyDescent="0.3">
      <c r="A120" s="23">
        <v>45813</v>
      </c>
      <c r="B120"/>
      <c r="F120" s="8">
        <f t="shared" si="1"/>
        <v>-43700</v>
      </c>
    </row>
    <row r="121" spans="1:6" ht="16.5" customHeight="1" x14ac:dyDescent="0.3">
      <c r="A121" s="23">
        <v>45813</v>
      </c>
      <c r="B121"/>
      <c r="F121" s="8">
        <f t="shared" si="1"/>
        <v>-43700</v>
      </c>
    </row>
    <row r="122" spans="1:6" ht="16.5" customHeight="1" x14ac:dyDescent="0.3">
      <c r="A122" s="23">
        <v>45813</v>
      </c>
      <c r="B122"/>
      <c r="F122" s="8">
        <f t="shared" si="1"/>
        <v>-43700</v>
      </c>
    </row>
    <row r="123" spans="1:6" ht="16.5" customHeight="1" x14ac:dyDescent="0.3">
      <c r="A123" s="23">
        <v>45813</v>
      </c>
      <c r="B123"/>
      <c r="F123" s="8">
        <f t="shared" si="1"/>
        <v>-43700</v>
      </c>
    </row>
    <row r="124" spans="1:6" ht="16.5" customHeight="1" x14ac:dyDescent="0.3">
      <c r="A124" s="23">
        <v>45813</v>
      </c>
      <c r="B124"/>
      <c r="F124" s="8">
        <f t="shared" si="1"/>
        <v>-43700</v>
      </c>
    </row>
    <row r="125" spans="1:6" ht="16.5" customHeight="1" x14ac:dyDescent="0.3">
      <c r="A125" s="23">
        <v>45813</v>
      </c>
      <c r="B125"/>
      <c r="F125" s="8">
        <f t="shared" si="1"/>
        <v>-43700</v>
      </c>
    </row>
    <row r="126" spans="1:6" ht="16.5" customHeight="1" x14ac:dyDescent="0.3">
      <c r="A126" s="23">
        <v>45813</v>
      </c>
      <c r="B126"/>
      <c r="F126" s="8">
        <f t="shared" si="1"/>
        <v>-43700</v>
      </c>
    </row>
    <row r="127" spans="1:6" ht="16.5" customHeight="1" x14ac:dyDescent="0.3">
      <c r="A127" s="23">
        <v>45813</v>
      </c>
      <c r="B127"/>
      <c r="F127" s="8">
        <f t="shared" si="1"/>
        <v>-43700</v>
      </c>
    </row>
    <row r="128" spans="1:6" ht="16.5" customHeight="1" x14ac:dyDescent="0.3">
      <c r="A128" s="23">
        <v>45813</v>
      </c>
      <c r="B128"/>
      <c r="F128" s="8">
        <f t="shared" si="1"/>
        <v>-43700</v>
      </c>
    </row>
    <row r="129" spans="1:6" ht="16.5" customHeight="1" x14ac:dyDescent="0.3">
      <c r="A129" s="23">
        <v>45813</v>
      </c>
      <c r="B129"/>
      <c r="F129" s="8">
        <f t="shared" si="1"/>
        <v>-43700</v>
      </c>
    </row>
    <row r="130" spans="1:6" ht="16.5" customHeight="1" x14ac:dyDescent="0.3">
      <c r="A130" s="23">
        <v>45813</v>
      </c>
      <c r="B130"/>
      <c r="F130" s="8">
        <f t="shared" si="1"/>
        <v>-43700</v>
      </c>
    </row>
    <row r="131" spans="1:6" ht="16.5" customHeight="1" x14ac:dyDescent="0.3">
      <c r="A131" s="23">
        <v>45813</v>
      </c>
      <c r="B131"/>
      <c r="F131" s="8">
        <f t="shared" si="1"/>
        <v>-43700</v>
      </c>
    </row>
    <row r="132" spans="1:6" ht="16.5" customHeight="1" x14ac:dyDescent="0.3">
      <c r="A132" s="23"/>
      <c r="B132"/>
      <c r="F132" s="8">
        <f t="shared" si="1"/>
        <v>-43700</v>
      </c>
    </row>
    <row r="133" spans="1:6" ht="16.5" customHeight="1" x14ac:dyDescent="0.3">
      <c r="A133" s="23"/>
      <c r="B133"/>
      <c r="F133" s="18"/>
    </row>
    <row r="134" spans="1:6" ht="16.5" customHeight="1" x14ac:dyDescent="0.3">
      <c r="A134" s="23"/>
      <c r="B134"/>
      <c r="F134" s="18"/>
    </row>
    <row r="135" spans="1:6" ht="16.5" customHeight="1" x14ac:dyDescent="0.3">
      <c r="A135" s="23"/>
      <c r="B135"/>
      <c r="F135" s="18"/>
    </row>
    <row r="136" spans="1:6" ht="16.5" customHeight="1" x14ac:dyDescent="0.3">
      <c r="A136" s="23"/>
      <c r="B136"/>
      <c r="F136" s="18"/>
    </row>
    <row r="137" spans="1:6" ht="16.5" customHeight="1" x14ac:dyDescent="0.3">
      <c r="A137" s="23"/>
      <c r="B137"/>
      <c r="F137" s="18"/>
    </row>
    <row r="138" spans="1:6" ht="16.5" customHeight="1" x14ac:dyDescent="0.3">
      <c r="A138" s="23"/>
      <c r="B138"/>
      <c r="F138" s="18"/>
    </row>
    <row r="139" spans="1:6" ht="16.5" customHeight="1" x14ac:dyDescent="0.3">
      <c r="A139" s="23"/>
      <c r="B139"/>
      <c r="F139" s="18"/>
    </row>
    <row r="140" spans="1:6" ht="16.5" customHeight="1" x14ac:dyDescent="0.3">
      <c r="A140" s="23"/>
      <c r="B140"/>
      <c r="F140" s="18"/>
    </row>
    <row r="141" spans="1:6" ht="16.5" customHeight="1" x14ac:dyDescent="0.3">
      <c r="A141" s="23"/>
      <c r="B141"/>
      <c r="F141" s="18"/>
    </row>
    <row r="142" spans="1:6" ht="16.5" customHeight="1" x14ac:dyDescent="0.3">
      <c r="A142" s="23"/>
      <c r="B142"/>
      <c r="F142" s="18"/>
    </row>
    <row r="143" spans="1:6" ht="16.5" customHeight="1" x14ac:dyDescent="0.3">
      <c r="A143" s="23"/>
      <c r="B143"/>
      <c r="F143" s="18"/>
    </row>
    <row r="144" spans="1:6" ht="16.5" customHeight="1" x14ac:dyDescent="0.3">
      <c r="A144" s="23"/>
      <c r="B144"/>
      <c r="F144" s="18"/>
    </row>
    <row r="145" spans="1:6" ht="16.5" customHeight="1" x14ac:dyDescent="0.3">
      <c r="A145" s="23"/>
      <c r="B145"/>
      <c r="F145" s="18"/>
    </row>
    <row r="146" spans="1:6" ht="16.5" customHeight="1" x14ac:dyDescent="0.3">
      <c r="A146" s="23"/>
      <c r="B146"/>
      <c r="F146" s="18"/>
    </row>
    <row r="147" spans="1:6" ht="16.5" customHeight="1" x14ac:dyDescent="0.3">
      <c r="A147" s="23"/>
      <c r="B147"/>
      <c r="F147" s="18"/>
    </row>
    <row r="148" spans="1:6" ht="16.5" customHeight="1" x14ac:dyDescent="0.3">
      <c r="A148" s="23"/>
      <c r="B148"/>
      <c r="F148" s="18"/>
    </row>
    <row r="149" spans="1:6" ht="16.5" customHeight="1" x14ac:dyDescent="0.3">
      <c r="A149" s="23"/>
      <c r="B149"/>
      <c r="F149" s="18"/>
    </row>
    <row r="150" spans="1:6" ht="16.5" customHeight="1" x14ac:dyDescent="0.3">
      <c r="A150" s="23"/>
      <c r="B150"/>
      <c r="F150" s="18"/>
    </row>
    <row r="151" spans="1:6" ht="16.5" customHeight="1" x14ac:dyDescent="0.3">
      <c r="A151" s="23"/>
      <c r="B151"/>
      <c r="F151" s="18"/>
    </row>
    <row r="152" spans="1:6" ht="16.5" customHeight="1" x14ac:dyDescent="0.3">
      <c r="A152" s="23"/>
      <c r="B152"/>
      <c r="F152" s="18"/>
    </row>
    <row r="153" spans="1:6" ht="16.5" customHeight="1" x14ac:dyDescent="0.3">
      <c r="A153" s="23"/>
      <c r="B153"/>
      <c r="F153" s="18"/>
    </row>
    <row r="154" spans="1:6" ht="16.5" customHeight="1" x14ac:dyDescent="0.3">
      <c r="A154" s="23"/>
      <c r="B154"/>
      <c r="F154" s="18"/>
    </row>
    <row r="155" spans="1:6" ht="16.5" customHeight="1" x14ac:dyDescent="0.3">
      <c r="A155" s="23"/>
      <c r="B155"/>
      <c r="F155" s="18"/>
    </row>
    <row r="156" spans="1:6" ht="16.5" customHeight="1" x14ac:dyDescent="0.3">
      <c r="A156" s="23"/>
      <c r="B156"/>
      <c r="F156" s="18"/>
    </row>
    <row r="157" spans="1:6" ht="16.5" customHeight="1" x14ac:dyDescent="0.3">
      <c r="A157" s="23"/>
      <c r="B157"/>
      <c r="F157" s="18"/>
    </row>
    <row r="158" spans="1:6" ht="16.5" customHeight="1" x14ac:dyDescent="0.3">
      <c r="A158" s="23"/>
      <c r="B158"/>
      <c r="F158" s="18"/>
    </row>
    <row r="159" spans="1:6" ht="16.5" customHeight="1" x14ac:dyDescent="0.3">
      <c r="A159" s="23"/>
      <c r="B159"/>
      <c r="F159" s="18"/>
    </row>
    <row r="160" spans="1:6" ht="16.5" customHeight="1" x14ac:dyDescent="0.3">
      <c r="A160" s="23"/>
      <c r="B160"/>
      <c r="F160" s="18"/>
    </row>
    <row r="161" spans="1:6" ht="16.5" customHeight="1" x14ac:dyDescent="0.3">
      <c r="A161" s="23"/>
      <c r="B161"/>
      <c r="F161" s="19"/>
    </row>
    <row r="162" spans="1:6" ht="16.5" customHeight="1" x14ac:dyDescent="0.3">
      <c r="A162" s="23"/>
      <c r="B162"/>
      <c r="F162" s="18"/>
    </row>
    <row r="163" spans="1:6" ht="16.5" customHeight="1" x14ac:dyDescent="0.3">
      <c r="A163" s="23"/>
      <c r="B163"/>
      <c r="F163" s="18"/>
    </row>
    <row r="164" spans="1:6" ht="16.5" customHeight="1" x14ac:dyDescent="0.3">
      <c r="A164" s="23"/>
      <c r="B164"/>
      <c r="F164" s="18"/>
    </row>
    <row r="165" spans="1:6" ht="16.5" customHeight="1" x14ac:dyDescent="0.3">
      <c r="A165" s="23"/>
      <c r="B165"/>
      <c r="F165" s="18"/>
    </row>
    <row r="166" spans="1:6" ht="16.5" customHeight="1" x14ac:dyDescent="0.3">
      <c r="A166" s="23"/>
      <c r="B166"/>
      <c r="F166" s="18"/>
    </row>
    <row r="167" spans="1:6" ht="16.5" customHeight="1" x14ac:dyDescent="0.3">
      <c r="A167" s="23"/>
      <c r="B167"/>
      <c r="F167" s="18"/>
    </row>
    <row r="168" spans="1:6" ht="16.5" customHeight="1" x14ac:dyDescent="0.3">
      <c r="A168" s="23"/>
      <c r="B168"/>
      <c r="F168" s="18"/>
    </row>
    <row r="169" spans="1:6" ht="16.5" customHeight="1" x14ac:dyDescent="0.3">
      <c r="A169" s="23"/>
      <c r="B169"/>
      <c r="F169" s="18"/>
    </row>
    <row r="170" spans="1:6" ht="16.5" customHeight="1" x14ac:dyDescent="0.3">
      <c r="A170" s="23"/>
      <c r="B170"/>
      <c r="F170" s="18"/>
    </row>
    <row r="171" spans="1:6" ht="16.5" customHeight="1" x14ac:dyDescent="0.3">
      <c r="A171" s="23"/>
      <c r="B171"/>
      <c r="F171" s="18"/>
    </row>
    <row r="172" spans="1:6" ht="16.5" customHeight="1" x14ac:dyDescent="0.3">
      <c r="A172" s="23"/>
      <c r="B172"/>
      <c r="F172" s="18"/>
    </row>
    <row r="173" spans="1:6" ht="16.5" customHeight="1" x14ac:dyDescent="0.3">
      <c r="A173" s="23"/>
      <c r="B173"/>
      <c r="F173" s="18"/>
    </row>
    <row r="174" spans="1:6" ht="16.5" customHeight="1" x14ac:dyDescent="0.3">
      <c r="A174" s="23"/>
      <c r="B174"/>
      <c r="F174" s="18"/>
    </row>
    <row r="175" spans="1:6" ht="16.5" customHeight="1" x14ac:dyDescent="0.3">
      <c r="A175" s="23"/>
      <c r="B175"/>
      <c r="F175" s="18"/>
    </row>
    <row r="176" spans="1:6" ht="16.5" customHeight="1" x14ac:dyDescent="0.3">
      <c r="A176" s="23"/>
      <c r="B176"/>
      <c r="F176" s="18"/>
    </row>
    <row r="177" spans="1:6" ht="16.5" customHeight="1" x14ac:dyDescent="0.3">
      <c r="A177" s="23"/>
      <c r="B177"/>
      <c r="F177" s="18"/>
    </row>
    <row r="178" spans="1:6" ht="16.5" customHeight="1" x14ac:dyDescent="0.3">
      <c r="A178" s="23"/>
      <c r="B178"/>
      <c r="F178" s="18"/>
    </row>
    <row r="179" spans="1:6" ht="16.5" customHeight="1" x14ac:dyDescent="0.3">
      <c r="A179" s="23"/>
      <c r="B179"/>
      <c r="F179" s="18"/>
    </row>
    <row r="180" spans="1:6" ht="16.5" customHeight="1" x14ac:dyDescent="0.3">
      <c r="A180" s="23"/>
      <c r="B180"/>
      <c r="F180" s="18"/>
    </row>
    <row r="181" spans="1:6" ht="16.5" customHeight="1" x14ac:dyDescent="0.3">
      <c r="A181" s="23"/>
      <c r="B181"/>
      <c r="F181" s="18"/>
    </row>
    <row r="182" spans="1:6" ht="16.5" customHeight="1" x14ac:dyDescent="0.3">
      <c r="A182" s="23"/>
      <c r="B182"/>
      <c r="F182" s="18"/>
    </row>
    <row r="183" spans="1:6" ht="16.5" customHeight="1" x14ac:dyDescent="0.3">
      <c r="A183" s="23"/>
      <c r="B183"/>
      <c r="F183" s="18"/>
    </row>
    <row r="184" spans="1:6" ht="16.5" customHeight="1" x14ac:dyDescent="0.3">
      <c r="A184" s="23"/>
      <c r="B184"/>
      <c r="F184" s="18"/>
    </row>
    <row r="185" spans="1:6" ht="16.5" customHeight="1" x14ac:dyDescent="0.3">
      <c r="A185" s="23"/>
      <c r="B185"/>
      <c r="F185" s="18"/>
    </row>
    <row r="186" spans="1:6" ht="16.5" customHeight="1" x14ac:dyDescent="0.3">
      <c r="A186" s="23"/>
      <c r="B186"/>
      <c r="F186" s="18"/>
    </row>
    <row r="187" spans="1:6" ht="16.5" customHeight="1" x14ac:dyDescent="0.3">
      <c r="A187" s="23"/>
      <c r="B187"/>
      <c r="F187" s="18"/>
    </row>
    <row r="188" spans="1:6" ht="16.5" customHeight="1" x14ac:dyDescent="0.3">
      <c r="A188" s="23"/>
      <c r="B188"/>
      <c r="F188" s="18"/>
    </row>
    <row r="189" spans="1:6" ht="16.5" customHeight="1" x14ac:dyDescent="0.3">
      <c r="A189" s="23"/>
      <c r="B189"/>
      <c r="F189" s="18"/>
    </row>
    <row r="190" spans="1:6" ht="16.5" customHeight="1" x14ac:dyDescent="0.3">
      <c r="A190" s="23"/>
      <c r="B190"/>
      <c r="F190" s="18"/>
    </row>
    <row r="191" spans="1:6" ht="16.5" customHeight="1" x14ac:dyDescent="0.3">
      <c r="A191" s="23"/>
      <c r="B191"/>
      <c r="F191" s="18"/>
    </row>
    <row r="192" spans="1:6" ht="16.5" customHeight="1" x14ac:dyDescent="0.3">
      <c r="A192" s="23"/>
      <c r="B192"/>
      <c r="F192" s="18"/>
    </row>
    <row r="193" spans="1:6" ht="16.5" customHeight="1" x14ac:dyDescent="0.3">
      <c r="A193" s="23"/>
      <c r="B193"/>
      <c r="F193" s="18"/>
    </row>
    <row r="194" spans="1:6" ht="16.5" customHeight="1" x14ac:dyDescent="0.3">
      <c r="A194" s="23"/>
      <c r="B194"/>
      <c r="F194" s="18"/>
    </row>
    <row r="195" spans="1:6" ht="16.5" customHeight="1" x14ac:dyDescent="0.3">
      <c r="A195" s="23"/>
      <c r="B195"/>
      <c r="F195" s="18"/>
    </row>
    <row r="196" spans="1:6" ht="16.5" customHeight="1" x14ac:dyDescent="0.3">
      <c r="A196" s="23"/>
      <c r="B196"/>
      <c r="F196" s="18"/>
    </row>
    <row r="197" spans="1:6" ht="16.5" customHeight="1" x14ac:dyDescent="0.3">
      <c r="A197" s="23"/>
      <c r="B197"/>
      <c r="F197" s="18"/>
    </row>
    <row r="198" spans="1:6" ht="16.5" customHeight="1" x14ac:dyDescent="0.3">
      <c r="A198" s="23"/>
      <c r="B198"/>
      <c r="F198" s="18"/>
    </row>
    <row r="199" spans="1:6" ht="16.5" customHeight="1" x14ac:dyDescent="0.3">
      <c r="A199" s="23"/>
      <c r="B199"/>
      <c r="F199" s="18"/>
    </row>
    <row r="200" spans="1:6" ht="16.5" customHeight="1" x14ac:dyDescent="0.3">
      <c r="A200" s="23"/>
      <c r="B200"/>
      <c r="F200" s="18"/>
    </row>
    <row r="201" spans="1:6" ht="16.5" customHeight="1" x14ac:dyDescent="0.3">
      <c r="A201" s="23"/>
      <c r="B201"/>
      <c r="F201" s="18"/>
    </row>
    <row r="202" spans="1:6" ht="16.5" customHeight="1" x14ac:dyDescent="0.3">
      <c r="A202" s="23"/>
      <c r="B202"/>
      <c r="F202" s="18"/>
    </row>
    <row r="203" spans="1:6" ht="16.5" customHeight="1" x14ac:dyDescent="0.3">
      <c r="A203" s="23"/>
      <c r="B203"/>
      <c r="F203" s="18"/>
    </row>
    <row r="204" spans="1:6" ht="16.5" customHeight="1" x14ac:dyDescent="0.3">
      <c r="A204" s="23"/>
      <c r="B204"/>
      <c r="F204" s="18"/>
    </row>
    <row r="205" spans="1:6" ht="16.5" customHeight="1" x14ac:dyDescent="0.3">
      <c r="A205" s="23"/>
      <c r="B205"/>
      <c r="F205" s="18"/>
    </row>
    <row r="206" spans="1:6" ht="16.5" customHeight="1" x14ac:dyDescent="0.3">
      <c r="A206" s="23"/>
      <c r="B206"/>
      <c r="F206" s="18"/>
    </row>
    <row r="207" spans="1:6" ht="16.5" customHeight="1" x14ac:dyDescent="0.3">
      <c r="A207" s="23"/>
      <c r="B207"/>
      <c r="F207" s="18"/>
    </row>
    <row r="208" spans="1:6" ht="16.5" customHeight="1" x14ac:dyDescent="0.3">
      <c r="A208" s="23"/>
      <c r="B208"/>
      <c r="F208" s="18"/>
    </row>
    <row r="209" spans="1:6" ht="16.5" customHeight="1" x14ac:dyDescent="0.3">
      <c r="A209" s="23"/>
      <c r="B209"/>
      <c r="F209" s="18"/>
    </row>
    <row r="210" spans="1:6" ht="16.5" customHeight="1" x14ac:dyDescent="0.3">
      <c r="A210" s="23"/>
      <c r="B210"/>
      <c r="F210" s="18"/>
    </row>
    <row r="211" spans="1:6" ht="16.5" customHeight="1" x14ac:dyDescent="0.3">
      <c r="A211" s="23"/>
      <c r="B211"/>
      <c r="F211" s="18"/>
    </row>
    <row r="212" spans="1:6" ht="16.5" customHeight="1" x14ac:dyDescent="0.3">
      <c r="A212" s="23"/>
      <c r="B212"/>
      <c r="F212" s="18"/>
    </row>
    <row r="213" spans="1:6" ht="16.5" customHeight="1" x14ac:dyDescent="0.3">
      <c r="A213" s="23"/>
      <c r="B213"/>
      <c r="F213" s="18"/>
    </row>
    <row r="214" spans="1:6" ht="16.5" customHeight="1" x14ac:dyDescent="0.3">
      <c r="A214" s="23"/>
      <c r="B214"/>
      <c r="F214" s="18"/>
    </row>
    <row r="215" spans="1:6" ht="16.5" customHeight="1" x14ac:dyDescent="0.3">
      <c r="A215" s="23"/>
      <c r="B215"/>
      <c r="F215" s="18"/>
    </row>
    <row r="216" spans="1:6" ht="16.5" customHeight="1" x14ac:dyDescent="0.3">
      <c r="A216" s="23"/>
      <c r="B216"/>
      <c r="F216" s="18"/>
    </row>
    <row r="217" spans="1:6" ht="16.5" customHeight="1" x14ac:dyDescent="0.3">
      <c r="A217" s="23"/>
      <c r="B217"/>
      <c r="F217" s="18"/>
    </row>
    <row r="218" spans="1:6" ht="16.5" customHeight="1" x14ac:dyDescent="0.3">
      <c r="A218" s="23"/>
      <c r="B218"/>
      <c r="F218" s="18"/>
    </row>
    <row r="219" spans="1:6" ht="16.5" customHeight="1" x14ac:dyDescent="0.3">
      <c r="A219" s="23"/>
      <c r="B219"/>
      <c r="F219" s="18"/>
    </row>
    <row r="220" spans="1:6" ht="16.5" customHeight="1" x14ac:dyDescent="0.3">
      <c r="A220" s="23"/>
      <c r="B220"/>
      <c r="F220" s="18"/>
    </row>
    <row r="221" spans="1:6" ht="16.5" customHeight="1" x14ac:dyDescent="0.3">
      <c r="A221" s="23"/>
      <c r="B221"/>
      <c r="F221" s="18"/>
    </row>
    <row r="222" spans="1:6" ht="16.5" customHeight="1" x14ac:dyDescent="0.3">
      <c r="A222" s="23"/>
      <c r="B222"/>
      <c r="F222" s="18"/>
    </row>
    <row r="223" spans="1:6" ht="16.5" customHeight="1" x14ac:dyDescent="0.3">
      <c r="A223" s="23"/>
      <c r="B223"/>
      <c r="F223" s="18"/>
    </row>
    <row r="224" spans="1:6" ht="16.5" customHeight="1" x14ac:dyDescent="0.3">
      <c r="A224" s="23"/>
      <c r="B224"/>
      <c r="F224" s="18"/>
    </row>
    <row r="225" spans="1:6" ht="16.5" customHeight="1" x14ac:dyDescent="0.3">
      <c r="A225" s="23"/>
      <c r="B225"/>
      <c r="F225" s="18"/>
    </row>
    <row r="226" spans="1:6" ht="16.5" customHeight="1" x14ac:dyDescent="0.3">
      <c r="A226" s="23"/>
      <c r="B226"/>
      <c r="F226" s="18"/>
    </row>
    <row r="227" spans="1:6" ht="16.5" customHeight="1" x14ac:dyDescent="0.3">
      <c r="A227" s="23"/>
      <c r="B227"/>
      <c r="F227" s="18"/>
    </row>
    <row r="228" spans="1:6" ht="16.5" customHeight="1" x14ac:dyDescent="0.3">
      <c r="A228" s="23"/>
      <c r="B228"/>
      <c r="F228" s="18"/>
    </row>
    <row r="229" spans="1:6" ht="16.5" customHeight="1" x14ac:dyDescent="0.3">
      <c r="A229" s="23"/>
      <c r="B229"/>
      <c r="F229" s="18"/>
    </row>
    <row r="230" spans="1:6" ht="16.5" customHeight="1" x14ac:dyDescent="0.3">
      <c r="A230" s="23"/>
      <c r="B230"/>
      <c r="F230" s="18"/>
    </row>
    <row r="231" spans="1:6" ht="16.5" customHeight="1" x14ac:dyDescent="0.3">
      <c r="A231" s="23"/>
      <c r="B231"/>
      <c r="F231" s="18"/>
    </row>
    <row r="232" spans="1:6" ht="16.5" customHeight="1" x14ac:dyDescent="0.3">
      <c r="A232" s="23"/>
      <c r="B232"/>
      <c r="F232" s="18"/>
    </row>
    <row r="233" spans="1:6" ht="16.5" customHeight="1" x14ac:dyDescent="0.3">
      <c r="A233" s="23"/>
      <c r="B233"/>
      <c r="F233" s="18"/>
    </row>
    <row r="234" spans="1:6" ht="16.5" customHeight="1" x14ac:dyDescent="0.3">
      <c r="A234" s="23"/>
      <c r="B234"/>
      <c r="F234" s="18"/>
    </row>
    <row r="235" spans="1:6" ht="16.5" customHeight="1" x14ac:dyDescent="0.3">
      <c r="A235" s="23"/>
      <c r="B235"/>
      <c r="F235" s="18"/>
    </row>
    <row r="236" spans="1:6" ht="16.5" customHeight="1" x14ac:dyDescent="0.3">
      <c r="A236" s="23"/>
      <c r="B236"/>
      <c r="F236" s="18"/>
    </row>
    <row r="237" spans="1:6" ht="16.5" customHeight="1" x14ac:dyDescent="0.3">
      <c r="A237" s="23"/>
      <c r="B237"/>
      <c r="F237" s="18"/>
    </row>
    <row r="238" spans="1:6" ht="16.5" customHeight="1" x14ac:dyDescent="0.3">
      <c r="A238" s="23"/>
      <c r="B238"/>
      <c r="F238" s="18"/>
    </row>
    <row r="239" spans="1:6" ht="16.5" customHeight="1" x14ac:dyDescent="0.3">
      <c r="A239" s="23"/>
      <c r="B239"/>
      <c r="F239" s="18"/>
    </row>
    <row r="240" spans="1:6" ht="16.5" customHeight="1" x14ac:dyDescent="0.3">
      <c r="A240" s="23"/>
      <c r="B240"/>
      <c r="F240" s="18"/>
    </row>
    <row r="241" spans="1:6" ht="16.5" customHeight="1" x14ac:dyDescent="0.3">
      <c r="A241" s="23"/>
      <c r="B241"/>
      <c r="F241" s="18"/>
    </row>
    <row r="242" spans="1:6" ht="16.5" customHeight="1" x14ac:dyDescent="0.3">
      <c r="A242" s="23"/>
      <c r="B242"/>
      <c r="F242" s="18"/>
    </row>
    <row r="243" spans="1:6" ht="16.5" customHeight="1" x14ac:dyDescent="0.3">
      <c r="A243" s="23"/>
      <c r="B243"/>
      <c r="F243" s="18"/>
    </row>
    <row r="244" spans="1:6" ht="16.5" customHeight="1" x14ac:dyDescent="0.3">
      <c r="A244" s="23"/>
      <c r="B244"/>
      <c r="F244" s="18"/>
    </row>
    <row r="245" spans="1:6" ht="16.5" customHeight="1" x14ac:dyDescent="0.3">
      <c r="A245" s="23"/>
      <c r="B245"/>
      <c r="F245" s="18"/>
    </row>
    <row r="246" spans="1:6" ht="16.5" customHeight="1" x14ac:dyDescent="0.3">
      <c r="A246" s="23"/>
      <c r="B246"/>
      <c r="F246" s="18"/>
    </row>
    <row r="247" spans="1:6" ht="16.5" customHeight="1" x14ac:dyDescent="0.3">
      <c r="A247" s="23"/>
      <c r="B247"/>
      <c r="F247" s="18"/>
    </row>
    <row r="248" spans="1:6" ht="23.5" customHeight="1" x14ac:dyDescent="0.3">
      <c r="A248" s="23"/>
      <c r="B248"/>
      <c r="C248" s="20"/>
      <c r="F248" s="18"/>
    </row>
    <row r="249" spans="1:6" ht="25.9" customHeight="1" x14ac:dyDescent="0.3">
      <c r="A249" s="23"/>
      <c r="B249"/>
      <c r="C249" s="20"/>
      <c r="F249" s="18"/>
    </row>
    <row r="250" spans="1:6" ht="16.5" customHeight="1" x14ac:dyDescent="0.3">
      <c r="A250" s="23"/>
      <c r="B250"/>
      <c r="C250" s="20"/>
      <c r="F250" s="18"/>
    </row>
    <row r="251" spans="1:6" ht="16.5" customHeight="1" x14ac:dyDescent="0.3">
      <c r="A251" s="23"/>
      <c r="B251"/>
      <c r="C251" s="20"/>
      <c r="F251" s="18"/>
    </row>
    <row r="252" spans="1:6" ht="16.5" customHeight="1" x14ac:dyDescent="0.3">
      <c r="A252" s="23"/>
      <c r="B252"/>
      <c r="C252" s="20"/>
      <c r="F252" s="18"/>
    </row>
    <row r="253" spans="1:6" ht="16.5" customHeight="1" x14ac:dyDescent="0.3">
      <c r="A253" s="23"/>
      <c r="B253"/>
      <c r="F253" s="18"/>
    </row>
    <row r="254" spans="1:6" ht="16.5" customHeight="1" x14ac:dyDescent="0.3">
      <c r="A254" s="23"/>
      <c r="B254"/>
      <c r="F254" s="18"/>
    </row>
    <row r="255" spans="1:6" ht="16.5" customHeight="1" x14ac:dyDescent="0.3">
      <c r="A255" s="23"/>
      <c r="B255"/>
      <c r="F255" s="18"/>
    </row>
    <row r="256" spans="1:6" ht="16.5" customHeight="1" x14ac:dyDescent="0.3">
      <c r="A256" s="23"/>
      <c r="B256"/>
      <c r="F256" s="18"/>
    </row>
    <row r="257" spans="1:6" ht="16.5" customHeight="1" x14ac:dyDescent="0.3">
      <c r="A257" s="23"/>
      <c r="B257"/>
      <c r="F257" s="18"/>
    </row>
    <row r="258" spans="1:6" ht="16.5" customHeight="1" x14ac:dyDescent="0.3">
      <c r="A258" s="23"/>
      <c r="B258"/>
      <c r="F258" s="18"/>
    </row>
    <row r="259" spans="1:6" ht="16.5" customHeight="1" x14ac:dyDescent="0.3">
      <c r="A259" s="23"/>
      <c r="B259"/>
      <c r="F259" s="18"/>
    </row>
    <row r="260" spans="1:6" ht="16.5" customHeight="1" x14ac:dyDescent="0.3">
      <c r="A260" s="23"/>
      <c r="B260"/>
      <c r="F260" s="18"/>
    </row>
    <row r="261" spans="1:6" ht="16.5" customHeight="1" x14ac:dyDescent="0.3">
      <c r="A261" s="23"/>
      <c r="B261"/>
      <c r="F261" s="18"/>
    </row>
    <row r="262" spans="1:6" ht="16.5" customHeight="1" x14ac:dyDescent="0.3">
      <c r="A262" s="23"/>
      <c r="B262"/>
      <c r="F262" s="18"/>
    </row>
    <row r="263" spans="1:6" ht="16.5" customHeight="1" x14ac:dyDescent="0.3">
      <c r="A263" s="23"/>
      <c r="B263"/>
      <c r="F263" s="18"/>
    </row>
    <row r="264" spans="1:6" ht="16.5" customHeight="1" x14ac:dyDescent="0.3">
      <c r="A264" s="23"/>
      <c r="B264"/>
      <c r="F264" s="18"/>
    </row>
    <row r="265" spans="1:6" ht="16.5" customHeight="1" x14ac:dyDescent="0.3">
      <c r="A265" s="23"/>
      <c r="B265"/>
      <c r="F265" s="18"/>
    </row>
    <row r="266" spans="1:6" ht="16.5" customHeight="1" x14ac:dyDescent="0.3">
      <c r="A266" s="23"/>
      <c r="B266"/>
      <c r="F266" s="18"/>
    </row>
    <row r="267" spans="1:6" ht="16.5" customHeight="1" x14ac:dyDescent="0.3">
      <c r="A267" s="23"/>
      <c r="B267"/>
      <c r="F267" s="18"/>
    </row>
    <row r="268" spans="1:6" ht="16.5" customHeight="1" x14ac:dyDescent="0.3">
      <c r="A268" s="23"/>
      <c r="B268"/>
      <c r="F268" s="18"/>
    </row>
    <row r="269" spans="1:6" ht="16.5" customHeight="1" x14ac:dyDescent="0.3">
      <c r="A269" s="23"/>
      <c r="B269"/>
      <c r="F269" s="18"/>
    </row>
    <row r="270" spans="1:6" ht="16.5" customHeight="1" x14ac:dyDescent="0.3">
      <c r="A270" s="23"/>
      <c r="B270"/>
      <c r="F270" s="18"/>
    </row>
    <row r="271" spans="1:6" ht="16.5" customHeight="1" x14ac:dyDescent="0.3">
      <c r="A271" s="23"/>
      <c r="B271"/>
      <c r="F271" s="18"/>
    </row>
    <row r="272" spans="1:6" ht="16.5" customHeight="1" x14ac:dyDescent="0.3">
      <c r="A272" s="23"/>
      <c r="B272"/>
      <c r="F272" s="18"/>
    </row>
    <row r="273" spans="1:6" ht="16.5" customHeight="1" x14ac:dyDescent="0.3">
      <c r="A273" s="23"/>
      <c r="B273"/>
      <c r="F273" s="18"/>
    </row>
    <row r="274" spans="1:6" ht="16.5" customHeight="1" x14ac:dyDescent="0.3">
      <c r="A274" s="23"/>
      <c r="B274"/>
      <c r="F274" s="18"/>
    </row>
    <row r="275" spans="1:6" ht="16.5" customHeight="1" x14ac:dyDescent="0.3">
      <c r="A275" s="23"/>
      <c r="B275"/>
      <c r="F275" s="18"/>
    </row>
    <row r="276" spans="1:6" ht="16.5" customHeight="1" x14ac:dyDescent="0.3">
      <c r="A276" s="23"/>
      <c r="B276"/>
      <c r="F276" s="18"/>
    </row>
    <row r="277" spans="1:6" ht="16.5" customHeight="1" x14ac:dyDescent="0.3">
      <c r="A277" s="23"/>
      <c r="B277"/>
      <c r="F277" s="18"/>
    </row>
    <row r="278" spans="1:6" ht="16.5" customHeight="1" x14ac:dyDescent="0.3">
      <c r="A278" s="23"/>
      <c r="B278"/>
      <c r="F278" s="18"/>
    </row>
    <row r="279" spans="1:6" ht="16.5" customHeight="1" x14ac:dyDescent="0.3">
      <c r="A279" s="23"/>
      <c r="B279"/>
      <c r="F279" s="18"/>
    </row>
    <row r="280" spans="1:6" ht="16.5" customHeight="1" x14ac:dyDescent="0.3">
      <c r="A280" s="23"/>
      <c r="B280"/>
      <c r="F280" s="18"/>
    </row>
    <row r="281" spans="1:6" ht="16.5" customHeight="1" x14ac:dyDescent="0.3">
      <c r="A281" s="23"/>
      <c r="B281"/>
      <c r="F281" s="18"/>
    </row>
    <row r="282" spans="1:6" ht="16.5" customHeight="1" x14ac:dyDescent="0.3">
      <c r="A282" s="23"/>
      <c r="B282"/>
      <c r="F282" s="18"/>
    </row>
    <row r="283" spans="1:6" ht="16.5" customHeight="1" x14ac:dyDescent="0.3">
      <c r="A283" s="23"/>
      <c r="B283"/>
      <c r="F283" s="18"/>
    </row>
    <row r="284" spans="1:6" ht="16.5" customHeight="1" x14ac:dyDescent="0.3">
      <c r="A284" s="23"/>
      <c r="B284"/>
      <c r="F284" s="18"/>
    </row>
    <row r="285" spans="1:6" ht="16.5" customHeight="1" x14ac:dyDescent="0.3">
      <c r="A285" s="23"/>
      <c r="B285"/>
      <c r="F285" s="18"/>
    </row>
    <row r="286" spans="1:6" ht="16.5" customHeight="1" x14ac:dyDescent="0.3">
      <c r="A286" s="23"/>
      <c r="B286"/>
      <c r="F286" s="18"/>
    </row>
    <row r="287" spans="1:6" ht="16.5" customHeight="1" x14ac:dyDescent="0.3">
      <c r="A287" s="23"/>
      <c r="B287"/>
      <c r="F287" s="18"/>
    </row>
    <row r="288" spans="1:6" ht="16.5" customHeight="1" x14ac:dyDescent="0.3">
      <c r="A288" s="23"/>
      <c r="B288"/>
      <c r="F288" s="18"/>
    </row>
    <row r="289" spans="1:6" ht="16.5" customHeight="1" x14ac:dyDescent="0.3">
      <c r="A289" s="23"/>
      <c r="B289"/>
      <c r="F289" s="18"/>
    </row>
    <row r="290" spans="1:6" ht="16.5" customHeight="1" x14ac:dyDescent="0.3">
      <c r="A290" s="23"/>
      <c r="B290"/>
      <c r="F290" s="18"/>
    </row>
    <row r="291" spans="1:6" ht="16.5" customHeight="1" x14ac:dyDescent="0.3">
      <c r="A291" s="23"/>
      <c r="B291"/>
      <c r="F291" s="18"/>
    </row>
    <row r="292" spans="1:6" ht="16.5" customHeight="1" x14ac:dyDescent="0.3">
      <c r="A292" s="23"/>
      <c r="B292"/>
      <c r="F292" s="18"/>
    </row>
    <row r="293" spans="1:6" ht="16.5" customHeight="1" x14ac:dyDescent="0.3">
      <c r="A293" s="23"/>
      <c r="B293"/>
      <c r="F293" s="18"/>
    </row>
    <row r="294" spans="1:6" ht="16.5" customHeight="1" x14ac:dyDescent="0.3">
      <c r="A294" s="23"/>
      <c r="B294"/>
      <c r="F294" s="18"/>
    </row>
    <row r="295" spans="1:6" ht="16.5" customHeight="1" x14ac:dyDescent="0.3">
      <c r="A295" s="23"/>
      <c r="B295"/>
      <c r="F295" s="18"/>
    </row>
    <row r="296" spans="1:6" ht="16.5" customHeight="1" x14ac:dyDescent="0.3">
      <c r="A296" s="23"/>
      <c r="B296"/>
      <c r="F296" s="18"/>
    </row>
    <row r="297" spans="1:6" ht="16.5" customHeight="1" x14ac:dyDescent="0.3">
      <c r="A297" s="23"/>
      <c r="B297"/>
      <c r="F297" s="18"/>
    </row>
    <row r="298" spans="1:6" ht="16.5" customHeight="1" x14ac:dyDescent="0.3">
      <c r="A298" s="23"/>
      <c r="B298"/>
      <c r="F298" s="18"/>
    </row>
    <row r="299" spans="1:6" ht="16.5" customHeight="1" x14ac:dyDescent="0.3">
      <c r="A299" s="23"/>
      <c r="B299"/>
      <c r="F299" s="18"/>
    </row>
    <row r="300" spans="1:6" ht="16.5" customHeight="1" x14ac:dyDescent="0.3">
      <c r="A300" s="23"/>
      <c r="B300"/>
      <c r="F300" s="18"/>
    </row>
    <row r="301" spans="1:6" ht="16.5" customHeight="1" x14ac:dyDescent="0.3">
      <c r="A301" s="23"/>
      <c r="B301"/>
      <c r="F301" s="18"/>
    </row>
    <row r="302" spans="1:6" ht="16.5" customHeight="1" x14ac:dyDescent="0.3">
      <c r="A302" s="23"/>
      <c r="B302"/>
      <c r="F302" s="18"/>
    </row>
    <row r="303" spans="1:6" ht="16.5" customHeight="1" x14ac:dyDescent="0.3">
      <c r="A303" s="23"/>
      <c r="B303"/>
      <c r="F303" s="18"/>
    </row>
    <row r="304" spans="1:6" ht="16.5" customHeight="1" x14ac:dyDescent="0.3">
      <c r="A304" s="23"/>
      <c r="B304"/>
      <c r="F304" s="18"/>
    </row>
    <row r="305" spans="1:6" ht="16.5" customHeight="1" x14ac:dyDescent="0.3">
      <c r="A305" s="23"/>
      <c r="B305"/>
      <c r="F305" s="18"/>
    </row>
    <row r="306" spans="1:6" ht="16.5" customHeight="1" x14ac:dyDescent="0.3">
      <c r="A306" s="23"/>
      <c r="B306"/>
      <c r="F306" s="18"/>
    </row>
    <row r="307" spans="1:6" ht="16.5" customHeight="1" x14ac:dyDescent="0.3">
      <c r="A307" s="23"/>
      <c r="B307"/>
      <c r="F307" s="18"/>
    </row>
    <row r="308" spans="1:6" ht="16.5" customHeight="1" x14ac:dyDescent="0.3">
      <c r="A308" s="23"/>
      <c r="B308"/>
      <c r="F308" s="18"/>
    </row>
    <row r="309" spans="1:6" ht="16.5" customHeight="1" x14ac:dyDescent="0.3">
      <c r="A309" s="23"/>
      <c r="B309"/>
      <c r="F309" s="18"/>
    </row>
    <row r="310" spans="1:6" ht="16.5" customHeight="1" x14ac:dyDescent="0.3">
      <c r="A310" s="23"/>
      <c r="B310"/>
      <c r="F310" s="18"/>
    </row>
    <row r="311" spans="1:6" ht="16.5" customHeight="1" x14ac:dyDescent="0.3">
      <c r="A311" s="23"/>
      <c r="B311"/>
      <c r="F311" s="18"/>
    </row>
    <row r="312" spans="1:6" ht="16.5" customHeight="1" x14ac:dyDescent="0.3">
      <c r="A312" s="23"/>
      <c r="B312"/>
      <c r="F312" s="18"/>
    </row>
    <row r="313" spans="1:6" ht="16.5" customHeight="1" x14ac:dyDescent="0.3">
      <c r="A313" s="23"/>
      <c r="B313"/>
      <c r="F313" s="18"/>
    </row>
    <row r="314" spans="1:6" ht="16.5" customHeight="1" x14ac:dyDescent="0.3">
      <c r="A314" s="23"/>
      <c r="B314"/>
      <c r="F314" s="18"/>
    </row>
    <row r="315" spans="1:6" ht="16.5" customHeight="1" x14ac:dyDescent="0.3">
      <c r="A315" s="23"/>
      <c r="B315"/>
      <c r="F315" s="18"/>
    </row>
    <row r="316" spans="1:6" ht="16.5" customHeight="1" x14ac:dyDescent="0.3">
      <c r="A316" s="23"/>
      <c r="B316"/>
      <c r="F316" s="18"/>
    </row>
    <row r="317" spans="1:6" ht="16.5" customHeight="1" x14ac:dyDescent="0.3">
      <c r="A317" s="23"/>
      <c r="B317"/>
      <c r="F317" s="18"/>
    </row>
    <row r="318" spans="1:6" ht="16.5" customHeight="1" x14ac:dyDescent="0.3">
      <c r="A318" s="23"/>
      <c r="B318"/>
      <c r="F318" s="18"/>
    </row>
    <row r="319" spans="1:6" ht="16.5" customHeight="1" x14ac:dyDescent="0.3">
      <c r="A319" s="23"/>
      <c r="B319"/>
      <c r="F319" s="18"/>
    </row>
    <row r="320" spans="1:6" ht="16.5" customHeight="1" x14ac:dyDescent="0.3">
      <c r="A320" s="23"/>
      <c r="B320"/>
      <c r="F320" s="18"/>
    </row>
    <row r="321" spans="1:6" ht="16.5" customHeight="1" x14ac:dyDescent="0.3">
      <c r="A321" s="23"/>
      <c r="B321"/>
      <c r="F321" s="18"/>
    </row>
    <row r="322" spans="1:6" ht="16.5" customHeight="1" x14ac:dyDescent="0.3">
      <c r="A322" s="23"/>
      <c r="B322"/>
      <c r="F322" s="18"/>
    </row>
    <row r="323" spans="1:6" ht="16.5" customHeight="1" x14ac:dyDescent="0.3">
      <c r="A323" s="23"/>
      <c r="B323"/>
      <c r="F323" s="18"/>
    </row>
    <row r="324" spans="1:6" ht="16.5" customHeight="1" x14ac:dyDescent="0.3">
      <c r="A324" s="23"/>
      <c r="B324"/>
      <c r="F324" s="18"/>
    </row>
    <row r="325" spans="1:6" ht="16.5" customHeight="1" x14ac:dyDescent="0.3">
      <c r="A325" s="23"/>
      <c r="B325"/>
      <c r="F325" s="18"/>
    </row>
    <row r="326" spans="1:6" ht="16.5" customHeight="1" x14ac:dyDescent="0.3">
      <c r="A326" s="23"/>
      <c r="B326"/>
      <c r="F326" s="18"/>
    </row>
    <row r="327" spans="1:6" ht="16.5" customHeight="1" x14ac:dyDescent="0.3">
      <c r="A327" s="23"/>
      <c r="B327"/>
      <c r="F327" s="18"/>
    </row>
    <row r="328" spans="1:6" ht="16.5" customHeight="1" x14ac:dyDescent="0.3">
      <c r="A328" s="23"/>
      <c r="B328"/>
      <c r="F328" s="18"/>
    </row>
    <row r="329" spans="1:6" ht="16.5" customHeight="1" x14ac:dyDescent="0.3">
      <c r="A329" s="23"/>
      <c r="B329"/>
      <c r="F329" s="18"/>
    </row>
    <row r="330" spans="1:6" ht="16.5" customHeight="1" x14ac:dyDescent="0.3">
      <c r="A330" s="23"/>
      <c r="B330"/>
      <c r="F330" s="18"/>
    </row>
    <row r="331" spans="1:6" ht="16.5" customHeight="1" x14ac:dyDescent="0.3">
      <c r="A331" s="23"/>
      <c r="B331"/>
      <c r="F331" s="18"/>
    </row>
    <row r="332" spans="1:6" ht="16.5" customHeight="1" x14ac:dyDescent="0.3">
      <c r="A332" s="23"/>
      <c r="B332"/>
      <c r="F332" s="18"/>
    </row>
    <row r="333" spans="1:6" ht="16.5" customHeight="1" x14ac:dyDescent="0.3">
      <c r="A333" s="23"/>
      <c r="B333"/>
      <c r="F333" s="18"/>
    </row>
    <row r="334" spans="1:6" ht="16.5" customHeight="1" x14ac:dyDescent="0.3">
      <c r="A334" s="23"/>
      <c r="B334"/>
      <c r="F334" s="18"/>
    </row>
    <row r="335" spans="1:6" ht="16.5" customHeight="1" x14ac:dyDescent="0.3">
      <c r="A335" s="23"/>
      <c r="B335"/>
      <c r="F335" s="18"/>
    </row>
    <row r="336" spans="1:6" ht="16.5" customHeight="1" x14ac:dyDescent="0.3">
      <c r="A336" s="23"/>
      <c r="B336"/>
      <c r="F336" s="18"/>
    </row>
    <row r="337" spans="1:6" ht="16.5" customHeight="1" x14ac:dyDescent="0.3">
      <c r="A337" s="23"/>
      <c r="B337"/>
      <c r="F337" s="18"/>
    </row>
    <row r="338" spans="1:6" ht="16.5" customHeight="1" x14ac:dyDescent="0.3">
      <c r="A338" s="23"/>
      <c r="B338"/>
      <c r="F338" s="18"/>
    </row>
    <row r="339" spans="1:6" ht="16.5" customHeight="1" x14ac:dyDescent="0.3">
      <c r="A339" s="23"/>
      <c r="B339"/>
      <c r="F339" s="18"/>
    </row>
    <row r="340" spans="1:6" ht="16.5" customHeight="1" x14ac:dyDescent="0.3">
      <c r="A340" s="23"/>
      <c r="B340"/>
      <c r="F340" s="18"/>
    </row>
    <row r="341" spans="1:6" ht="16.5" customHeight="1" x14ac:dyDescent="0.3">
      <c r="A341" s="23"/>
      <c r="B341"/>
      <c r="F341" s="18"/>
    </row>
    <row r="342" spans="1:6" ht="16.5" customHeight="1" x14ac:dyDescent="0.3">
      <c r="A342" s="23"/>
      <c r="B342"/>
      <c r="F342" s="18"/>
    </row>
    <row r="343" spans="1:6" ht="16.5" customHeight="1" x14ac:dyDescent="0.3">
      <c r="A343" s="23"/>
      <c r="B343"/>
      <c r="F343" s="18"/>
    </row>
    <row r="344" spans="1:6" ht="16.5" customHeight="1" x14ac:dyDescent="0.3">
      <c r="A344" s="23"/>
      <c r="B344"/>
      <c r="F344" s="18"/>
    </row>
    <row r="345" spans="1:6" ht="16.5" customHeight="1" x14ac:dyDescent="0.3">
      <c r="A345" s="23"/>
      <c r="B345"/>
      <c r="F345" s="18"/>
    </row>
    <row r="346" spans="1:6" ht="16.5" customHeight="1" x14ac:dyDescent="0.3">
      <c r="A346" s="23"/>
      <c r="B346"/>
      <c r="F346" s="18"/>
    </row>
    <row r="347" spans="1:6" ht="16.5" customHeight="1" x14ac:dyDescent="0.3">
      <c r="A347" s="23"/>
      <c r="B347"/>
      <c r="F347" s="18"/>
    </row>
    <row r="348" spans="1:6" ht="16.5" customHeight="1" x14ac:dyDescent="0.3">
      <c r="A348" s="23"/>
      <c r="B348"/>
      <c r="F348" s="18"/>
    </row>
    <row r="349" spans="1:6" ht="16.5" customHeight="1" x14ac:dyDescent="0.3">
      <c r="A349" s="23"/>
      <c r="B349"/>
      <c r="F349" s="18"/>
    </row>
    <row r="350" spans="1:6" ht="16.5" customHeight="1" x14ac:dyDescent="0.3">
      <c r="A350" s="23"/>
      <c r="B350"/>
      <c r="F350" s="18"/>
    </row>
    <row r="351" spans="1:6" ht="16.5" customHeight="1" x14ac:dyDescent="0.3">
      <c r="A351" s="23"/>
      <c r="B351"/>
      <c r="F351" s="18"/>
    </row>
    <row r="352" spans="1:6" ht="16.5" customHeight="1" x14ac:dyDescent="0.3">
      <c r="A352" s="23"/>
      <c r="B352"/>
      <c r="F352" s="18"/>
    </row>
    <row r="353" spans="1:6" ht="16.5" customHeight="1" x14ac:dyDescent="0.3">
      <c r="A353" s="23"/>
      <c r="B353"/>
      <c r="F353" s="18"/>
    </row>
    <row r="354" spans="1:6" ht="16.5" customHeight="1" x14ac:dyDescent="0.3">
      <c r="A354" s="23"/>
      <c r="B354"/>
      <c r="F354" s="18"/>
    </row>
    <row r="355" spans="1:6" ht="16.5" customHeight="1" x14ac:dyDescent="0.3">
      <c r="A355" s="23"/>
      <c r="B355"/>
      <c r="F355" s="18"/>
    </row>
    <row r="356" spans="1:6" ht="16.5" customHeight="1" x14ac:dyDescent="0.3">
      <c r="A356" s="23"/>
      <c r="B356"/>
      <c r="F356" s="18"/>
    </row>
    <row r="357" spans="1:6" ht="16.5" customHeight="1" x14ac:dyDescent="0.3">
      <c r="A357" s="23"/>
      <c r="B357"/>
      <c r="F357" s="18"/>
    </row>
    <row r="358" spans="1:6" ht="16.5" customHeight="1" x14ac:dyDescent="0.3">
      <c r="A358" s="23"/>
      <c r="B358"/>
      <c r="F358" s="18"/>
    </row>
    <row r="359" spans="1:6" ht="16.5" customHeight="1" x14ac:dyDescent="0.3">
      <c r="A359" s="23"/>
      <c r="B359"/>
      <c r="F359" s="18"/>
    </row>
    <row r="360" spans="1:6" ht="16.5" customHeight="1" x14ac:dyDescent="0.3">
      <c r="A360" s="23"/>
      <c r="B360"/>
      <c r="F360" s="18"/>
    </row>
    <row r="361" spans="1:6" ht="16.5" customHeight="1" x14ac:dyDescent="0.3">
      <c r="A361" s="23"/>
      <c r="B361"/>
      <c r="F361" s="18"/>
    </row>
    <row r="362" spans="1:6" ht="16.5" customHeight="1" x14ac:dyDescent="0.3">
      <c r="A362" s="23"/>
      <c r="B362"/>
      <c r="F362" s="18"/>
    </row>
    <row r="363" spans="1:6" ht="16.5" customHeight="1" x14ac:dyDescent="0.3">
      <c r="A363" s="23"/>
      <c r="B363"/>
      <c r="F363" s="18"/>
    </row>
    <row r="364" spans="1:6" ht="16.5" customHeight="1" x14ac:dyDescent="0.3">
      <c r="A364" s="23"/>
      <c r="B364"/>
      <c r="F364" s="18"/>
    </row>
    <row r="365" spans="1:6" ht="16.5" customHeight="1" x14ac:dyDescent="0.3">
      <c r="A365" s="23"/>
      <c r="B365"/>
      <c r="F365" s="18"/>
    </row>
    <row r="366" spans="1:6" ht="16.5" customHeight="1" x14ac:dyDescent="0.3">
      <c r="A366" s="23"/>
      <c r="B366"/>
      <c r="F366" s="18"/>
    </row>
    <row r="367" spans="1:6" ht="16.5" customHeight="1" x14ac:dyDescent="0.3">
      <c r="A367" s="23"/>
      <c r="B367"/>
      <c r="F367" s="18"/>
    </row>
    <row r="368" spans="1:6" ht="16.5" customHeight="1" x14ac:dyDescent="0.3">
      <c r="A368" s="23"/>
      <c r="B368"/>
      <c r="F368" s="18"/>
    </row>
    <row r="369" spans="1:6" ht="16.5" customHeight="1" x14ac:dyDescent="0.3">
      <c r="A369" s="23"/>
      <c r="B369"/>
      <c r="F369" s="18"/>
    </row>
    <row r="370" spans="1:6" ht="16.5" customHeight="1" x14ac:dyDescent="0.3">
      <c r="A370" s="23"/>
      <c r="B370"/>
      <c r="F370" s="18"/>
    </row>
    <row r="371" spans="1:6" ht="16.5" customHeight="1" x14ac:dyDescent="0.3">
      <c r="A371" s="23"/>
      <c r="B371"/>
      <c r="F371" s="18"/>
    </row>
    <row r="372" spans="1:6" ht="16.5" customHeight="1" x14ac:dyDescent="0.3">
      <c r="A372" s="23"/>
      <c r="B372"/>
      <c r="F372" s="18"/>
    </row>
    <row r="373" spans="1:6" ht="16.5" customHeight="1" x14ac:dyDescent="0.3">
      <c r="A373" s="23"/>
      <c r="B373"/>
      <c r="F373" s="18"/>
    </row>
    <row r="374" spans="1:6" ht="16.5" customHeight="1" x14ac:dyDescent="0.3">
      <c r="A374" s="23"/>
      <c r="B374"/>
      <c r="F374" s="18"/>
    </row>
    <row r="375" spans="1:6" ht="16.5" customHeight="1" x14ac:dyDescent="0.3">
      <c r="A375" s="23"/>
      <c r="B375"/>
      <c r="F375" s="18"/>
    </row>
    <row r="376" spans="1:6" ht="16.5" customHeight="1" x14ac:dyDescent="0.3">
      <c r="A376" s="23"/>
      <c r="B376"/>
      <c r="F376" s="18"/>
    </row>
    <row r="377" spans="1:6" ht="16.5" customHeight="1" x14ac:dyDescent="0.3">
      <c r="A377" s="23"/>
      <c r="B377"/>
      <c r="F377" s="18"/>
    </row>
    <row r="378" spans="1:6" ht="16.5" customHeight="1" x14ac:dyDescent="0.3">
      <c r="A378" s="23"/>
      <c r="B378"/>
      <c r="F378" s="18"/>
    </row>
    <row r="379" spans="1:6" ht="16.5" customHeight="1" x14ac:dyDescent="0.3">
      <c r="A379" s="23"/>
      <c r="B379"/>
      <c r="F379" s="18"/>
    </row>
    <row r="380" spans="1:6" ht="16.5" customHeight="1" x14ac:dyDescent="0.3">
      <c r="A380" s="23"/>
      <c r="B380"/>
      <c r="F380" s="18"/>
    </row>
    <row r="381" spans="1:6" ht="16.5" customHeight="1" x14ac:dyDescent="0.3">
      <c r="A381" s="23"/>
      <c r="F381" s="18"/>
    </row>
    <row r="382" spans="1:6" ht="16.5" customHeight="1" x14ac:dyDescent="0.3">
      <c r="A382" s="23"/>
      <c r="B382"/>
      <c r="F382" s="18"/>
    </row>
    <row r="383" spans="1:6" ht="16.5" customHeight="1" x14ac:dyDescent="0.3">
      <c r="A383" s="23"/>
      <c r="B383"/>
      <c r="F383" s="18"/>
    </row>
    <row r="384" spans="1:6" ht="16.5" customHeight="1" x14ac:dyDescent="0.3">
      <c r="A384" s="23"/>
      <c r="B384"/>
      <c r="F384" s="18"/>
    </row>
    <row r="385" spans="1:6" ht="16.5" customHeight="1" x14ac:dyDescent="0.3">
      <c r="A385" s="23"/>
      <c r="B385"/>
      <c r="F385" s="18"/>
    </row>
    <row r="386" spans="1:6" ht="16.5" customHeight="1" x14ac:dyDescent="0.3">
      <c r="A386" s="23"/>
      <c r="B386"/>
      <c r="F386" s="18"/>
    </row>
    <row r="387" spans="1:6" ht="16.5" customHeight="1" x14ac:dyDescent="0.3">
      <c r="A387" s="23"/>
      <c r="B387"/>
      <c r="F387" s="18"/>
    </row>
    <row r="388" spans="1:6" ht="16.5" customHeight="1" x14ac:dyDescent="0.3">
      <c r="A388" s="23"/>
      <c r="B388"/>
      <c r="F388" s="18"/>
    </row>
    <row r="389" spans="1:6" ht="16.5" customHeight="1" x14ac:dyDescent="0.3">
      <c r="A389" s="23"/>
      <c r="B389"/>
      <c r="F389" s="18"/>
    </row>
    <row r="390" spans="1:6" ht="16.5" customHeight="1" x14ac:dyDescent="0.3">
      <c r="A390" s="23"/>
      <c r="B390"/>
      <c r="F390" s="18"/>
    </row>
    <row r="391" spans="1:6" ht="16.5" customHeight="1" x14ac:dyDescent="0.3">
      <c r="A391" s="23"/>
      <c r="B391"/>
      <c r="F391" s="18"/>
    </row>
    <row r="392" spans="1:6" ht="16.5" customHeight="1" x14ac:dyDescent="0.3">
      <c r="A392" s="23"/>
      <c r="B392"/>
      <c r="F392" s="18"/>
    </row>
    <row r="393" spans="1:6" ht="16.5" customHeight="1" x14ac:dyDescent="0.3">
      <c r="A393" s="23"/>
      <c r="B393"/>
      <c r="F393" s="18"/>
    </row>
    <row r="394" spans="1:6" ht="16.5" customHeight="1" x14ac:dyDescent="0.3">
      <c r="A394" s="23"/>
      <c r="B394"/>
      <c r="F394" s="18"/>
    </row>
    <row r="395" spans="1:6" ht="16.5" customHeight="1" x14ac:dyDescent="0.3">
      <c r="A395" s="23"/>
      <c r="B395"/>
      <c r="F395" s="18"/>
    </row>
    <row r="396" spans="1:6" ht="16.5" customHeight="1" x14ac:dyDescent="0.3">
      <c r="A396" s="23"/>
      <c r="B396"/>
      <c r="F396" s="18"/>
    </row>
    <row r="397" spans="1:6" ht="16.5" customHeight="1" x14ac:dyDescent="0.3">
      <c r="A397" s="23"/>
      <c r="B397"/>
      <c r="F397" s="18"/>
    </row>
    <row r="398" spans="1:6" ht="16.5" customHeight="1" x14ac:dyDescent="0.3">
      <c r="A398" s="23"/>
      <c r="B398"/>
      <c r="F398" s="18"/>
    </row>
    <row r="399" spans="1:6" ht="16.5" customHeight="1" x14ac:dyDescent="0.3">
      <c r="A399" s="23"/>
      <c r="B399"/>
      <c r="F399" s="18"/>
    </row>
    <row r="400" spans="1:6" ht="16.5" customHeight="1" x14ac:dyDescent="0.3">
      <c r="A400" s="23"/>
      <c r="B400"/>
      <c r="F400" s="18"/>
    </row>
    <row r="401" spans="1:6" ht="16.5" customHeight="1" x14ac:dyDescent="0.3">
      <c r="A401" s="23"/>
      <c r="B401"/>
      <c r="F401" s="18"/>
    </row>
    <row r="402" spans="1:6" ht="16.5" customHeight="1" x14ac:dyDescent="0.3">
      <c r="A402" s="23"/>
      <c r="B402"/>
      <c r="F402" s="18"/>
    </row>
    <row r="403" spans="1:6" ht="16.5" customHeight="1" x14ac:dyDescent="0.3">
      <c r="A403" s="23"/>
      <c r="B403"/>
      <c r="F403" s="18"/>
    </row>
    <row r="404" spans="1:6" ht="16.5" customHeight="1" x14ac:dyDescent="0.3">
      <c r="A404" s="23"/>
      <c r="B404"/>
      <c r="F404" s="18"/>
    </row>
    <row r="405" spans="1:6" ht="16.5" customHeight="1" x14ac:dyDescent="0.3">
      <c r="A405" s="23"/>
      <c r="B405"/>
      <c r="F405" s="18"/>
    </row>
    <row r="406" spans="1:6" ht="16.5" customHeight="1" x14ac:dyDescent="0.3">
      <c r="A406" s="23"/>
      <c r="B406"/>
      <c r="F406" s="18"/>
    </row>
    <row r="407" spans="1:6" ht="16.5" customHeight="1" x14ac:dyDescent="0.3">
      <c r="A407" s="23"/>
      <c r="B407"/>
      <c r="F407" s="18"/>
    </row>
    <row r="408" spans="1:6" ht="16.5" customHeight="1" x14ac:dyDescent="0.3">
      <c r="A408" s="23"/>
      <c r="B408"/>
      <c r="F408" s="18"/>
    </row>
    <row r="409" spans="1:6" ht="16.5" customHeight="1" x14ac:dyDescent="0.3">
      <c r="A409" s="23"/>
      <c r="B409"/>
      <c r="F409" s="18"/>
    </row>
    <row r="410" spans="1:6" ht="16.5" customHeight="1" x14ac:dyDescent="0.3">
      <c r="A410" s="23"/>
      <c r="B410"/>
      <c r="F410" s="18"/>
    </row>
    <row r="411" spans="1:6" ht="16.5" customHeight="1" x14ac:dyDescent="0.3">
      <c r="A411" s="23"/>
      <c r="B411"/>
      <c r="F411" s="18"/>
    </row>
    <row r="412" spans="1:6" ht="16.5" customHeight="1" x14ac:dyDescent="0.3">
      <c r="A412" s="23"/>
      <c r="B412"/>
      <c r="F412" s="18"/>
    </row>
    <row r="413" spans="1:6" ht="16.5" customHeight="1" x14ac:dyDescent="0.3">
      <c r="A413" s="23"/>
      <c r="B413"/>
      <c r="F413" s="18"/>
    </row>
    <row r="414" spans="1:6" ht="16.5" customHeight="1" x14ac:dyDescent="0.3">
      <c r="A414" s="23"/>
      <c r="B414"/>
      <c r="F414" s="18"/>
    </row>
    <row r="415" spans="1:6" ht="16.5" customHeight="1" x14ac:dyDescent="0.3">
      <c r="A415" s="23"/>
      <c r="B415"/>
      <c r="F415" s="18"/>
    </row>
    <row r="416" spans="1:6" ht="16.5" customHeight="1" x14ac:dyDescent="0.3">
      <c r="A416" s="23"/>
      <c r="B416"/>
      <c r="F416" s="18"/>
    </row>
    <row r="417" spans="1:6" ht="16.5" customHeight="1" x14ac:dyDescent="0.3">
      <c r="A417" s="23"/>
      <c r="B417"/>
      <c r="F417" s="18"/>
    </row>
    <row r="418" spans="1:6" ht="16.5" customHeight="1" x14ac:dyDescent="0.3">
      <c r="A418" s="23"/>
      <c r="B418"/>
      <c r="D418" s="16"/>
      <c r="E418" s="17"/>
      <c r="F418" s="22"/>
    </row>
    <row r="419" spans="1:6" ht="16.5" customHeight="1" x14ac:dyDescent="0.3">
      <c r="A419" s="23"/>
      <c r="B419"/>
      <c r="F419" s="18"/>
    </row>
    <row r="420" spans="1:6" ht="16.5" customHeight="1" x14ac:dyDescent="0.3">
      <c r="A420" s="23"/>
      <c r="B420"/>
      <c r="F420" s="18"/>
    </row>
    <row r="421" spans="1:6" ht="16.5" customHeight="1" x14ac:dyDescent="0.3">
      <c r="A421" s="23"/>
      <c r="B421"/>
      <c r="F421" s="18"/>
    </row>
    <row r="422" spans="1:6" ht="16.5" customHeight="1" x14ac:dyDescent="0.3">
      <c r="A422" s="23"/>
      <c r="B422"/>
      <c r="F422" s="18"/>
    </row>
    <row r="423" spans="1:6" ht="16.5" customHeight="1" x14ac:dyDescent="0.3">
      <c r="A423" s="23"/>
      <c r="B423"/>
      <c r="F423" s="18"/>
    </row>
    <row r="424" spans="1:6" ht="16.5" customHeight="1" x14ac:dyDescent="0.3">
      <c r="A424" s="23"/>
      <c r="B424"/>
      <c r="F424" s="18"/>
    </row>
    <row r="425" spans="1:6" ht="16.5" customHeight="1" x14ac:dyDescent="0.3">
      <c r="A425" s="23"/>
      <c r="B425"/>
      <c r="F425" s="18"/>
    </row>
    <row r="426" spans="1:6" ht="16.5" customHeight="1" x14ac:dyDescent="0.3">
      <c r="A426" s="23"/>
      <c r="B426"/>
      <c r="F426" s="18"/>
    </row>
    <row r="427" spans="1:6" ht="16.5" customHeight="1" x14ac:dyDescent="0.3">
      <c r="A427" s="23"/>
      <c r="B427"/>
      <c r="F427" s="18"/>
    </row>
    <row r="428" spans="1:6" ht="16.5" customHeight="1" x14ac:dyDescent="0.3">
      <c r="A428" s="23"/>
      <c r="B428"/>
      <c r="F428" s="18"/>
    </row>
    <row r="429" spans="1:6" ht="16.5" customHeight="1" x14ac:dyDescent="0.3">
      <c r="A429" s="23"/>
      <c r="B429"/>
      <c r="F429" s="18"/>
    </row>
    <row r="430" spans="1:6" ht="16.5" customHeight="1" x14ac:dyDescent="0.3">
      <c r="A430" s="23"/>
      <c r="B430"/>
      <c r="F430" s="18"/>
    </row>
    <row r="431" spans="1:6" ht="16.5" customHeight="1" x14ac:dyDescent="0.3">
      <c r="A431" s="23"/>
      <c r="B431"/>
      <c r="F431" s="18"/>
    </row>
    <row r="432" spans="1:6" ht="16.5" customHeight="1" x14ac:dyDescent="0.3">
      <c r="A432" s="23"/>
      <c r="B432"/>
      <c r="F432" s="18"/>
    </row>
    <row r="433" spans="1:6" ht="16.5" customHeight="1" x14ac:dyDescent="0.3">
      <c r="A433" s="23"/>
      <c r="B433"/>
      <c r="F433" s="18"/>
    </row>
    <row r="434" spans="1:6" ht="16.5" customHeight="1" x14ac:dyDescent="0.3">
      <c r="A434" s="23"/>
      <c r="B434"/>
      <c r="F434" s="18"/>
    </row>
    <row r="435" spans="1:6" ht="16.5" customHeight="1" x14ac:dyDescent="0.3">
      <c r="A435" s="23"/>
      <c r="B435"/>
      <c r="F435" s="18"/>
    </row>
    <row r="436" spans="1:6" ht="16.5" customHeight="1" x14ac:dyDescent="0.3">
      <c r="A436" s="23"/>
      <c r="B436"/>
      <c r="F436" s="18"/>
    </row>
    <row r="437" spans="1:6" ht="16.149999999999999" customHeight="1" x14ac:dyDescent="0.3">
      <c r="A437" s="23"/>
      <c r="B437"/>
      <c r="F437" s="18"/>
    </row>
    <row r="438" spans="1:6" ht="16.5" customHeight="1" x14ac:dyDescent="0.3">
      <c r="A438" s="23"/>
      <c r="B438"/>
      <c r="F438" s="18"/>
    </row>
    <row r="439" spans="1:6" ht="16.5" customHeight="1" x14ac:dyDescent="0.3">
      <c r="A439" s="23"/>
      <c r="B439"/>
      <c r="F439" s="18"/>
    </row>
    <row r="440" spans="1:6" ht="16.5" customHeight="1" x14ac:dyDescent="0.3">
      <c r="A440" s="23"/>
      <c r="B440"/>
      <c r="F440" s="18"/>
    </row>
    <row r="441" spans="1:6" ht="16.5" customHeight="1" x14ac:dyDescent="0.3">
      <c r="A441" s="23"/>
      <c r="B441"/>
      <c r="F441" s="18"/>
    </row>
    <row r="442" spans="1:6" ht="16.5" customHeight="1" x14ac:dyDescent="0.3">
      <c r="A442" s="23"/>
      <c r="B442"/>
      <c r="D442" s="16"/>
      <c r="E442" s="17"/>
      <c r="F442" s="22"/>
    </row>
    <row r="443" spans="1:6" ht="16.5" customHeight="1" x14ac:dyDescent="0.3">
      <c r="A443" s="23"/>
      <c r="B443"/>
      <c r="F443" s="18"/>
    </row>
    <row r="444" spans="1:6" ht="16.5" customHeight="1" x14ac:dyDescent="0.3">
      <c r="A444" s="23"/>
      <c r="B444"/>
      <c r="F444" s="18"/>
    </row>
    <row r="445" spans="1:6" ht="16.5" customHeight="1" x14ac:dyDescent="0.3">
      <c r="A445" s="23"/>
      <c r="B445"/>
      <c r="F445" s="18"/>
    </row>
    <row r="446" spans="1:6" ht="16.5" customHeight="1" x14ac:dyDescent="0.3">
      <c r="A446" s="23"/>
      <c r="B446"/>
      <c r="F446" s="18"/>
    </row>
    <row r="447" spans="1:6" ht="16.5" customHeight="1" x14ac:dyDescent="0.3">
      <c r="A447" s="23"/>
      <c r="B447"/>
      <c r="F447" s="18"/>
    </row>
    <row r="448" spans="1:6" ht="16.5" customHeight="1" x14ac:dyDescent="0.3">
      <c r="A448" s="23"/>
      <c r="B448"/>
      <c r="F448" s="18"/>
    </row>
    <row r="449" spans="1:6" ht="16.5" customHeight="1" x14ac:dyDescent="0.3">
      <c r="A449" s="23"/>
      <c r="B449"/>
      <c r="F449" s="18"/>
    </row>
    <row r="450" spans="1:6" ht="16.5" customHeight="1" x14ac:dyDescent="0.3">
      <c r="A450" s="23"/>
      <c r="B450"/>
      <c r="F450" s="18"/>
    </row>
    <row r="451" spans="1:6" ht="16.5" customHeight="1" x14ac:dyDescent="0.3">
      <c r="A451" s="23"/>
      <c r="B451"/>
      <c r="F451" s="18"/>
    </row>
    <row r="452" spans="1:6" ht="16.5" customHeight="1" x14ac:dyDescent="0.3">
      <c r="A452" s="23"/>
      <c r="B452"/>
      <c r="F452" s="18"/>
    </row>
    <row r="453" spans="1:6" ht="16.5" customHeight="1" x14ac:dyDescent="0.3">
      <c r="A453" s="23"/>
      <c r="B453"/>
      <c r="F453" s="18"/>
    </row>
    <row r="454" spans="1:6" ht="16.5" customHeight="1" x14ac:dyDescent="0.3">
      <c r="A454" s="23"/>
      <c r="B454"/>
      <c r="F454" s="18"/>
    </row>
    <row r="455" spans="1:6" ht="16.5" customHeight="1" x14ac:dyDescent="0.3">
      <c r="A455" s="23"/>
      <c r="B455"/>
      <c r="F455" s="18"/>
    </row>
    <row r="456" spans="1:6" ht="16.5" customHeight="1" x14ac:dyDescent="0.3">
      <c r="A456" s="23"/>
      <c r="B456"/>
      <c r="F456" s="18"/>
    </row>
    <row r="457" spans="1:6" ht="16.5" customHeight="1" x14ac:dyDescent="0.3">
      <c r="A457" s="23"/>
      <c r="B457"/>
      <c r="F457" s="18"/>
    </row>
    <row r="458" spans="1:6" ht="16.5" customHeight="1" x14ac:dyDescent="0.3">
      <c r="A458" s="23"/>
      <c r="B458"/>
      <c r="F458" s="18"/>
    </row>
    <row r="459" spans="1:6" ht="16.5" customHeight="1" x14ac:dyDescent="0.3">
      <c r="A459" s="23"/>
      <c r="B459"/>
      <c r="F459" s="18"/>
    </row>
    <row r="460" spans="1:6" ht="16.5" customHeight="1" x14ac:dyDescent="0.3">
      <c r="A460" s="23"/>
      <c r="B460"/>
      <c r="F460" s="18"/>
    </row>
    <row r="461" spans="1:6" ht="16.5" customHeight="1" x14ac:dyDescent="0.3">
      <c r="A461" s="23"/>
      <c r="B461"/>
      <c r="F461" s="18"/>
    </row>
    <row r="462" spans="1:6" ht="16.5" customHeight="1" x14ac:dyDescent="0.3">
      <c r="A462" s="23"/>
      <c r="B462"/>
      <c r="F462" s="18"/>
    </row>
    <row r="463" spans="1:6" ht="16.5" customHeight="1" x14ac:dyDescent="0.3">
      <c r="A463" s="23"/>
      <c r="B463"/>
      <c r="F463" s="18"/>
    </row>
    <row r="464" spans="1:6" ht="16.5" customHeight="1" x14ac:dyDescent="0.3">
      <c r="A464" s="23"/>
      <c r="B464"/>
      <c r="F464" s="18"/>
    </row>
    <row r="465" spans="1:6" ht="16.5" customHeight="1" x14ac:dyDescent="0.3">
      <c r="A465" s="23"/>
      <c r="B465"/>
      <c r="F465" s="18"/>
    </row>
    <row r="466" spans="1:6" ht="16.5" customHeight="1" x14ac:dyDescent="0.3">
      <c r="A466" s="23"/>
      <c r="B466"/>
      <c r="F466" s="18"/>
    </row>
    <row r="467" spans="1:6" ht="16.5" customHeight="1" x14ac:dyDescent="0.3">
      <c r="A467" s="23"/>
      <c r="B467"/>
      <c r="F467" s="18"/>
    </row>
    <row r="468" spans="1:6" ht="16.5" customHeight="1" x14ac:dyDescent="0.3">
      <c r="A468" s="23"/>
      <c r="B468"/>
      <c r="F468" s="18"/>
    </row>
    <row r="469" spans="1:6" ht="16.5" customHeight="1" x14ac:dyDescent="0.3">
      <c r="A469" s="23"/>
      <c r="B469"/>
      <c r="F469" s="18"/>
    </row>
    <row r="470" spans="1:6" ht="16.5" customHeight="1" x14ac:dyDescent="0.3">
      <c r="A470" s="23"/>
      <c r="B470"/>
      <c r="F470" s="18"/>
    </row>
    <row r="471" spans="1:6" ht="16.5" customHeight="1" x14ac:dyDescent="0.3">
      <c r="A471" s="23"/>
      <c r="B471"/>
      <c r="F471" s="18"/>
    </row>
    <row r="472" spans="1:6" ht="16.5" customHeight="1" x14ac:dyDescent="0.3">
      <c r="A472" s="23"/>
      <c r="B472"/>
      <c r="F472" s="18"/>
    </row>
    <row r="473" spans="1:6" ht="16.5" customHeight="1" x14ac:dyDescent="0.3">
      <c r="A473" s="23"/>
      <c r="B473"/>
      <c r="F473" s="18"/>
    </row>
    <row r="474" spans="1:6" ht="16.5" customHeight="1" x14ac:dyDescent="0.3">
      <c r="A474" s="23"/>
      <c r="B474"/>
      <c r="F474" s="18"/>
    </row>
    <row r="475" spans="1:6" ht="16.5" customHeight="1" x14ac:dyDescent="0.3">
      <c r="A475" s="23"/>
      <c r="B475"/>
      <c r="F475" s="18"/>
    </row>
    <row r="476" spans="1:6" ht="16.5" customHeight="1" x14ac:dyDescent="0.3">
      <c r="A476" s="23"/>
      <c r="B476"/>
      <c r="F476" s="18"/>
    </row>
    <row r="477" spans="1:6" ht="16.5" customHeight="1" x14ac:dyDescent="0.3">
      <c r="A477" s="23"/>
      <c r="B477"/>
      <c r="F477" s="18"/>
    </row>
    <row r="478" spans="1:6" ht="16.5" customHeight="1" x14ac:dyDescent="0.3">
      <c r="A478" s="23"/>
      <c r="B478"/>
      <c r="F478" s="18"/>
    </row>
    <row r="479" spans="1:6" ht="16.5" customHeight="1" x14ac:dyDescent="0.3">
      <c r="A479" s="23"/>
      <c r="B479"/>
      <c r="F479" s="18"/>
    </row>
    <row r="480" spans="1:6" ht="16.5" customHeight="1" x14ac:dyDescent="0.3">
      <c r="A480" s="23"/>
      <c r="B480"/>
      <c r="F480" s="18"/>
    </row>
    <row r="481" spans="1:6" ht="16.5" customHeight="1" x14ac:dyDescent="0.3">
      <c r="A481" s="23"/>
      <c r="B481"/>
      <c r="F481" s="18"/>
    </row>
    <row r="482" spans="1:6" ht="16.5" customHeight="1" x14ac:dyDescent="0.3">
      <c r="A482" s="23"/>
      <c r="B482"/>
      <c r="F482" s="18"/>
    </row>
    <row r="483" spans="1:6" ht="16.5" customHeight="1" x14ac:dyDescent="0.3">
      <c r="A483" s="23"/>
      <c r="B483"/>
      <c r="F483" s="18"/>
    </row>
    <row r="484" spans="1:6" ht="16.5" customHeight="1" x14ac:dyDescent="0.3">
      <c r="A484" s="23"/>
      <c r="B484"/>
      <c r="F484" s="18"/>
    </row>
    <row r="485" spans="1:6" ht="16.5" customHeight="1" x14ac:dyDescent="0.3">
      <c r="A485" s="23"/>
      <c r="B485"/>
      <c r="F485" s="18"/>
    </row>
    <row r="486" spans="1:6" ht="16.5" customHeight="1" x14ac:dyDescent="0.3">
      <c r="A486" s="23"/>
      <c r="B486"/>
      <c r="F486" s="18"/>
    </row>
    <row r="487" spans="1:6" ht="16.5" customHeight="1" x14ac:dyDescent="0.3">
      <c r="A487" s="23"/>
      <c r="B487"/>
      <c r="F487" s="18"/>
    </row>
    <row r="488" spans="1:6" ht="16.5" customHeight="1" x14ac:dyDescent="0.3">
      <c r="A488" s="23"/>
      <c r="B488"/>
      <c r="F488" s="18"/>
    </row>
    <row r="489" spans="1:6" ht="16.5" customHeight="1" x14ac:dyDescent="0.3">
      <c r="A489" s="23"/>
      <c r="B489"/>
      <c r="F489" s="18"/>
    </row>
    <row r="490" spans="1:6" ht="16.5" customHeight="1" x14ac:dyDescent="0.3">
      <c r="A490" s="23"/>
      <c r="B490"/>
      <c r="F490" s="18"/>
    </row>
    <row r="491" spans="1:6" ht="16.5" customHeight="1" x14ac:dyDescent="0.3">
      <c r="A491" s="23"/>
      <c r="B491"/>
      <c r="F491" s="18"/>
    </row>
    <row r="492" spans="1:6" ht="16.5" customHeight="1" x14ac:dyDescent="0.3">
      <c r="A492" s="23"/>
      <c r="B492"/>
      <c r="F492" s="18"/>
    </row>
    <row r="493" spans="1:6" ht="16.5" customHeight="1" x14ac:dyDescent="0.3">
      <c r="A493" s="23"/>
      <c r="B493"/>
      <c r="F493" s="18"/>
    </row>
    <row r="494" spans="1:6" ht="16.5" customHeight="1" x14ac:dyDescent="0.3">
      <c r="A494" s="23"/>
      <c r="B494"/>
      <c r="F494" s="18"/>
    </row>
    <row r="495" spans="1:6" ht="16.5" customHeight="1" x14ac:dyDescent="0.3">
      <c r="A495" s="23"/>
      <c r="B495"/>
      <c r="F495" s="18"/>
    </row>
    <row r="496" spans="1:6" ht="16.5" customHeight="1" x14ac:dyDescent="0.3">
      <c r="A496" s="23"/>
      <c r="B496"/>
      <c r="F496" s="18"/>
    </row>
    <row r="497" spans="1:6" ht="16.5" customHeight="1" x14ac:dyDescent="0.3">
      <c r="A497" s="23"/>
      <c r="B497"/>
      <c r="F497" s="18"/>
    </row>
    <row r="498" spans="1:6" ht="16.5" customHeight="1" x14ac:dyDescent="0.3">
      <c r="A498" s="23"/>
      <c r="B498"/>
      <c r="F498" s="18"/>
    </row>
    <row r="499" spans="1:6" ht="16.5" customHeight="1" x14ac:dyDescent="0.3">
      <c r="A499" s="23"/>
      <c r="B499"/>
      <c r="F499" s="18"/>
    </row>
    <row r="500" spans="1:6" ht="16.5" customHeight="1" x14ac:dyDescent="0.3">
      <c r="A500" s="23"/>
      <c r="B500"/>
      <c r="F500" s="18"/>
    </row>
    <row r="501" spans="1:6" ht="16.5" customHeight="1" x14ac:dyDescent="0.3">
      <c r="A501" s="23"/>
      <c r="B501"/>
      <c r="F501" s="18"/>
    </row>
    <row r="502" spans="1:6" ht="16.5" customHeight="1" x14ac:dyDescent="0.3">
      <c r="A502" s="23"/>
      <c r="B502"/>
      <c r="F502" s="18"/>
    </row>
    <row r="503" spans="1:6" ht="16.5" customHeight="1" x14ac:dyDescent="0.3">
      <c r="A503" s="23"/>
      <c r="B503"/>
      <c r="F503" s="18"/>
    </row>
    <row r="504" spans="1:6" ht="16.5" customHeight="1" x14ac:dyDescent="0.3">
      <c r="A504" s="23"/>
      <c r="B504"/>
      <c r="F504" s="18"/>
    </row>
    <row r="505" spans="1:6" ht="16.5" customHeight="1" x14ac:dyDescent="0.3">
      <c r="A505" s="23"/>
      <c r="B505"/>
      <c r="F505" s="18"/>
    </row>
    <row r="506" spans="1:6" ht="16.5" customHeight="1" x14ac:dyDescent="0.3">
      <c r="A506" s="23"/>
      <c r="B506"/>
      <c r="F506" s="18"/>
    </row>
    <row r="507" spans="1:6" ht="16.5" customHeight="1" x14ac:dyDescent="0.3">
      <c r="A507" s="23"/>
      <c r="B507"/>
      <c r="F507" s="18"/>
    </row>
    <row r="508" spans="1:6" ht="16.5" customHeight="1" x14ac:dyDescent="0.3">
      <c r="A508" s="23"/>
      <c r="B508"/>
      <c r="F508" s="18"/>
    </row>
    <row r="509" spans="1:6" ht="16.5" customHeight="1" x14ac:dyDescent="0.3">
      <c r="A509" s="23"/>
      <c r="B509"/>
      <c r="F509" s="18"/>
    </row>
    <row r="510" spans="1:6" ht="16.5" customHeight="1" x14ac:dyDescent="0.3">
      <c r="A510" s="23"/>
      <c r="B510"/>
      <c r="F510" s="18"/>
    </row>
    <row r="511" spans="1:6" ht="16.5" customHeight="1" x14ac:dyDescent="0.3">
      <c r="A511" s="23"/>
      <c r="B511"/>
      <c r="F511" s="18"/>
    </row>
    <row r="512" spans="1:6" ht="16.5" customHeight="1" x14ac:dyDescent="0.3">
      <c r="A512" s="23"/>
      <c r="B512"/>
      <c r="F512" s="18"/>
    </row>
    <row r="513" spans="1:6" ht="16.5" customHeight="1" x14ac:dyDescent="0.3">
      <c r="A513" s="23"/>
      <c r="B513"/>
      <c r="F513" s="19"/>
    </row>
    <row r="514" spans="1:6" ht="16.5" customHeight="1" x14ac:dyDescent="0.3">
      <c r="A514" s="23"/>
      <c r="B514"/>
      <c r="F514" s="18"/>
    </row>
    <row r="515" spans="1:6" ht="16.5" customHeight="1" x14ac:dyDescent="0.3">
      <c r="A515" s="23"/>
      <c r="B515"/>
      <c r="F515" s="18"/>
    </row>
    <row r="516" spans="1:6" ht="16.5" customHeight="1" x14ac:dyDescent="0.3">
      <c r="A516" s="23"/>
      <c r="B516"/>
      <c r="F516" s="18"/>
    </row>
    <row r="517" spans="1:6" ht="16.5" customHeight="1" x14ac:dyDescent="0.3">
      <c r="A517" s="23"/>
      <c r="B517"/>
      <c r="F517" s="18"/>
    </row>
    <row r="518" spans="1:6" ht="16.5" customHeight="1" x14ac:dyDescent="0.3">
      <c r="A518" s="23"/>
      <c r="B518"/>
      <c r="F518" s="18"/>
    </row>
    <row r="519" spans="1:6" ht="16.5" customHeight="1" x14ac:dyDescent="0.3">
      <c r="A519" s="23"/>
      <c r="B519"/>
      <c r="F519" s="18"/>
    </row>
    <row r="520" spans="1:6" ht="16.5" customHeight="1" x14ac:dyDescent="0.3">
      <c r="A520" s="23"/>
      <c r="B520"/>
      <c r="F520" s="18"/>
    </row>
    <row r="521" spans="1:6" ht="16.5" customHeight="1" x14ac:dyDescent="0.3">
      <c r="A521" s="23"/>
      <c r="B521"/>
      <c r="F521" s="18"/>
    </row>
    <row r="522" spans="1:6" ht="16.5" customHeight="1" x14ac:dyDescent="0.3">
      <c r="A522" s="23"/>
      <c r="B522"/>
      <c r="F522" s="18"/>
    </row>
    <row r="523" spans="1:6" ht="16.5" customHeight="1" x14ac:dyDescent="0.3">
      <c r="A523" s="23"/>
      <c r="B523"/>
      <c r="F523" s="18"/>
    </row>
    <row r="524" spans="1:6" ht="16.5" customHeight="1" x14ac:dyDescent="0.3">
      <c r="A524" s="23"/>
      <c r="B524"/>
      <c r="F524" s="18"/>
    </row>
    <row r="525" spans="1:6" ht="16.5" customHeight="1" x14ac:dyDescent="0.3">
      <c r="A525" s="23"/>
      <c r="B525"/>
      <c r="F525" s="18"/>
    </row>
    <row r="526" spans="1:6" ht="16.5" customHeight="1" x14ac:dyDescent="0.3">
      <c r="A526" s="23"/>
      <c r="B526"/>
      <c r="F526" s="18"/>
    </row>
    <row r="527" spans="1:6" ht="16.5" customHeight="1" x14ac:dyDescent="0.3">
      <c r="A527" s="23"/>
      <c r="B527"/>
      <c r="F527" s="18"/>
    </row>
    <row r="528" spans="1:6" ht="16.5" customHeight="1" x14ac:dyDescent="0.3">
      <c r="A528" s="23"/>
      <c r="B528"/>
      <c r="F528" s="18"/>
    </row>
    <row r="529" spans="1:6" ht="16.5" customHeight="1" x14ac:dyDescent="0.3">
      <c r="A529" s="23"/>
      <c r="B529"/>
      <c r="F529" s="18"/>
    </row>
    <row r="530" spans="1:6" ht="16.5" customHeight="1" x14ac:dyDescent="0.3">
      <c r="A530" s="23"/>
      <c r="B530"/>
      <c r="F530" s="18"/>
    </row>
    <row r="531" spans="1:6" ht="16.5" customHeight="1" x14ac:dyDescent="0.3">
      <c r="A531" s="23"/>
      <c r="B531"/>
      <c r="F531" s="18"/>
    </row>
    <row r="532" spans="1:6" ht="16.5" customHeight="1" x14ac:dyDescent="0.3">
      <c r="A532" s="23"/>
      <c r="B532"/>
      <c r="F532" s="18"/>
    </row>
    <row r="533" spans="1:6" ht="16.5" customHeight="1" x14ac:dyDescent="0.3">
      <c r="A533" s="23"/>
      <c r="B533"/>
      <c r="F533" s="18"/>
    </row>
    <row r="534" spans="1:6" ht="16.5" customHeight="1" x14ac:dyDescent="0.3">
      <c r="A534" s="23"/>
      <c r="B534"/>
      <c r="F534" s="18"/>
    </row>
    <row r="535" spans="1:6" ht="16.5" customHeight="1" x14ac:dyDescent="0.3">
      <c r="A535" s="23"/>
      <c r="B535"/>
      <c r="F535" s="18"/>
    </row>
    <row r="536" spans="1:6" ht="16.5" customHeight="1" x14ac:dyDescent="0.3">
      <c r="A536" s="23"/>
      <c r="B536"/>
      <c r="F536" s="18"/>
    </row>
    <row r="537" spans="1:6" ht="16.5" customHeight="1" x14ac:dyDescent="0.3">
      <c r="A537" s="23"/>
      <c r="B537"/>
      <c r="F537" s="18"/>
    </row>
    <row r="538" spans="1:6" ht="16.5" customHeight="1" x14ac:dyDescent="0.3">
      <c r="A538" s="23"/>
      <c r="B538"/>
      <c r="F538" s="18"/>
    </row>
    <row r="539" spans="1:6" ht="16.5" customHeight="1" x14ac:dyDescent="0.3">
      <c r="A539" s="23"/>
      <c r="B539"/>
      <c r="F539" s="18"/>
    </row>
    <row r="540" spans="1:6" ht="16.5" customHeight="1" x14ac:dyDescent="0.3">
      <c r="A540" s="23"/>
      <c r="B540"/>
      <c r="F540" s="18"/>
    </row>
    <row r="541" spans="1:6" ht="16.5" customHeight="1" x14ac:dyDescent="0.3">
      <c r="A541" s="23"/>
      <c r="B541"/>
      <c r="F541" s="18"/>
    </row>
    <row r="542" spans="1:6" ht="16.5" customHeight="1" x14ac:dyDescent="0.3">
      <c r="A542" s="23"/>
      <c r="B542"/>
      <c r="F542" s="18"/>
    </row>
    <row r="543" spans="1:6" ht="16.5" customHeight="1" x14ac:dyDescent="0.3">
      <c r="A543" s="23"/>
      <c r="B543"/>
      <c r="F543" s="18"/>
    </row>
    <row r="544" spans="1:6" ht="16.5" customHeight="1" x14ac:dyDescent="0.3">
      <c r="A544" s="23"/>
      <c r="B544"/>
      <c r="F544" s="18"/>
    </row>
    <row r="545" spans="1:6" ht="16.5" customHeight="1" x14ac:dyDescent="0.3">
      <c r="A545" s="23"/>
      <c r="B545"/>
      <c r="F545" s="18"/>
    </row>
    <row r="546" spans="1:6" ht="16.5" customHeight="1" x14ac:dyDescent="0.3">
      <c r="A546" s="23"/>
      <c r="B546"/>
      <c r="F546" s="18"/>
    </row>
    <row r="547" spans="1:6" ht="16.5" customHeight="1" x14ac:dyDescent="0.3">
      <c r="A547" s="23"/>
      <c r="B547"/>
      <c r="F547" s="18"/>
    </row>
    <row r="548" spans="1:6" ht="16.5" customHeight="1" x14ac:dyDescent="0.3">
      <c r="A548" s="23"/>
      <c r="B548"/>
      <c r="F548" s="18"/>
    </row>
    <row r="549" spans="1:6" ht="16.5" customHeight="1" x14ac:dyDescent="0.3">
      <c r="A549" s="23"/>
      <c r="B549"/>
      <c r="F549" s="18"/>
    </row>
    <row r="550" spans="1:6" ht="16.5" customHeight="1" x14ac:dyDescent="0.3">
      <c r="A550" s="23"/>
      <c r="B550"/>
      <c r="F550" s="18"/>
    </row>
    <row r="551" spans="1:6" ht="16.5" customHeight="1" x14ac:dyDescent="0.3">
      <c r="A551" s="23"/>
      <c r="B551"/>
      <c r="F551" s="18"/>
    </row>
    <row r="552" spans="1:6" ht="16.5" customHeight="1" x14ac:dyDescent="0.3">
      <c r="A552" s="23"/>
      <c r="B552"/>
      <c r="F552" s="18"/>
    </row>
    <row r="553" spans="1:6" ht="16.5" customHeight="1" x14ac:dyDescent="0.3">
      <c r="A553" s="23"/>
      <c r="B553"/>
      <c r="F553" s="18"/>
    </row>
    <row r="554" spans="1:6" ht="16.5" customHeight="1" x14ac:dyDescent="0.3">
      <c r="A554" s="23"/>
      <c r="B554"/>
      <c r="F554" s="18"/>
    </row>
    <row r="555" spans="1:6" ht="16.5" customHeight="1" x14ac:dyDescent="0.3">
      <c r="A555" s="23"/>
      <c r="B555"/>
      <c r="F555" s="18"/>
    </row>
    <row r="556" spans="1:6" ht="16.5" customHeight="1" x14ac:dyDescent="0.3">
      <c r="A556" s="23"/>
      <c r="B556"/>
      <c r="F556" s="18"/>
    </row>
    <row r="557" spans="1:6" ht="16.5" customHeight="1" x14ac:dyDescent="0.3">
      <c r="A557" s="23"/>
      <c r="B557"/>
      <c r="F557" s="18"/>
    </row>
    <row r="558" spans="1:6" ht="16.5" customHeight="1" x14ac:dyDescent="0.3">
      <c r="A558" s="23"/>
      <c r="B558"/>
      <c r="F558" s="18"/>
    </row>
    <row r="559" spans="1:6" ht="16.5" customHeight="1" x14ac:dyDescent="0.3">
      <c r="A559" s="23"/>
      <c r="B559"/>
      <c r="F559" s="19"/>
    </row>
    <row r="560" spans="1:6" ht="16.5" customHeight="1" x14ac:dyDescent="0.3">
      <c r="A560" s="23"/>
      <c r="B560"/>
      <c r="F560" s="19"/>
    </row>
    <row r="561" spans="1:6" ht="16.5" customHeight="1" x14ac:dyDescent="0.3">
      <c r="A561" s="23"/>
      <c r="B561"/>
      <c r="F561" s="19"/>
    </row>
    <row r="562" spans="1:6" ht="16.5" customHeight="1" x14ac:dyDescent="0.3">
      <c r="A562" s="23"/>
      <c r="B562"/>
      <c r="F562" s="19"/>
    </row>
    <row r="563" spans="1:6" ht="16.5" customHeight="1" x14ac:dyDescent="0.3">
      <c r="A563" s="23"/>
      <c r="B563"/>
      <c r="F563" s="19"/>
    </row>
    <row r="564" spans="1:6" ht="16.5" customHeight="1" x14ac:dyDescent="0.3">
      <c r="A564" s="23"/>
      <c r="B564"/>
    </row>
    <row r="565" spans="1:6" ht="16.5" customHeight="1" x14ac:dyDescent="0.3">
      <c r="A565" s="23"/>
      <c r="B565"/>
    </row>
    <row r="566" spans="1:6" ht="16.5" customHeight="1" x14ac:dyDescent="0.3">
      <c r="A566" s="23"/>
      <c r="B566"/>
    </row>
    <row r="567" spans="1:6" ht="16.5" customHeight="1" x14ac:dyDescent="0.3">
      <c r="A567" s="23"/>
      <c r="B567"/>
    </row>
    <row r="568" spans="1:6" ht="16.5" customHeight="1" x14ac:dyDescent="0.3">
      <c r="A568" s="23"/>
      <c r="B568"/>
    </row>
    <row r="569" spans="1:6" ht="16.5" customHeight="1" x14ac:dyDescent="0.3">
      <c r="A569" s="23"/>
      <c r="B569"/>
    </row>
    <row r="570" spans="1:6" ht="16.5" customHeight="1" x14ac:dyDescent="0.3">
      <c r="A570" s="23"/>
      <c r="B570"/>
    </row>
    <row r="571" spans="1:6" ht="16.5" customHeight="1" x14ac:dyDescent="0.3">
      <c r="A571" s="23"/>
      <c r="B571"/>
    </row>
    <row r="572" spans="1:6" ht="16.5" customHeight="1" x14ac:dyDescent="0.3">
      <c r="A572" s="23"/>
      <c r="B572"/>
    </row>
    <row r="573" spans="1:6" ht="16.5" customHeight="1" x14ac:dyDescent="0.3">
      <c r="A573" s="23"/>
      <c r="B573"/>
    </row>
    <row r="574" spans="1:6" ht="16.5" customHeight="1" x14ac:dyDescent="0.3">
      <c r="A574" s="23"/>
      <c r="B574"/>
    </row>
    <row r="575" spans="1:6" ht="16.5" customHeight="1" x14ac:dyDescent="0.3">
      <c r="A575" s="23"/>
      <c r="B575"/>
    </row>
    <row r="576" spans="1:6" ht="16.5" customHeight="1" x14ac:dyDescent="0.3">
      <c r="A576" s="23"/>
      <c r="B576"/>
    </row>
    <row r="577" spans="1:2" ht="16.5" customHeight="1" x14ac:dyDescent="0.3">
      <c r="A577" s="23"/>
      <c r="B577"/>
    </row>
    <row r="578" spans="1:2" ht="16.5" customHeight="1" x14ac:dyDescent="0.3">
      <c r="A578" s="23"/>
      <c r="B578"/>
    </row>
    <row r="579" spans="1:2" ht="16.5" customHeight="1" x14ac:dyDescent="0.3">
      <c r="A579" s="23"/>
      <c r="B579"/>
    </row>
    <row r="580" spans="1:2" ht="16.5" customHeight="1" x14ac:dyDescent="0.3">
      <c r="A580" s="23"/>
      <c r="B580"/>
    </row>
    <row r="581" spans="1:2" ht="16.5" customHeight="1" x14ac:dyDescent="0.3">
      <c r="A581" s="23"/>
      <c r="B581"/>
    </row>
    <row r="582" spans="1:2" ht="16.5" customHeight="1" x14ac:dyDescent="0.3">
      <c r="A582" s="23"/>
      <c r="B582"/>
    </row>
    <row r="583" spans="1:2" ht="16.5" customHeight="1" x14ac:dyDescent="0.3">
      <c r="A583" s="23"/>
      <c r="B583"/>
    </row>
    <row r="584" spans="1:2" ht="16.5" customHeight="1" x14ac:dyDescent="0.3">
      <c r="A584" s="23"/>
      <c r="B584"/>
    </row>
    <row r="585" spans="1:2" ht="16.5" customHeight="1" x14ac:dyDescent="0.3">
      <c r="A585" s="23"/>
      <c r="B585"/>
    </row>
    <row r="586" spans="1:2" ht="16.5" customHeight="1" x14ac:dyDescent="0.3">
      <c r="A586" s="23"/>
      <c r="B586"/>
    </row>
    <row r="587" spans="1:2" ht="16.5" customHeight="1" x14ac:dyDescent="0.3">
      <c r="A587" s="23"/>
      <c r="B587"/>
    </row>
    <row r="588" spans="1:2" ht="16.5" customHeight="1" x14ac:dyDescent="0.3">
      <c r="A588" s="23"/>
      <c r="B588"/>
    </row>
    <row r="589" spans="1:2" ht="16.5" customHeight="1" x14ac:dyDescent="0.3">
      <c r="A589" s="23"/>
      <c r="B589"/>
    </row>
    <row r="590" spans="1:2" ht="16.5" customHeight="1" x14ac:dyDescent="0.3">
      <c r="A590" s="23"/>
      <c r="B590"/>
    </row>
    <row r="591" spans="1:2" ht="16.5" customHeight="1" x14ac:dyDescent="0.3">
      <c r="A591" s="23"/>
      <c r="B591"/>
    </row>
    <row r="592" spans="1:2" ht="16.5" customHeight="1" x14ac:dyDescent="0.3">
      <c r="A592" s="23"/>
      <c r="B592"/>
    </row>
    <row r="593" spans="1:2" ht="16.5" customHeight="1" x14ac:dyDescent="0.3">
      <c r="A593" s="23"/>
      <c r="B593"/>
    </row>
    <row r="594" spans="1:2" ht="16.5" customHeight="1" x14ac:dyDescent="0.3">
      <c r="A594" s="23"/>
      <c r="B594"/>
    </row>
    <row r="595" spans="1:2" ht="16.5" customHeight="1" x14ac:dyDescent="0.3">
      <c r="A595" s="23"/>
      <c r="B595"/>
    </row>
    <row r="596" spans="1:2" ht="16.5" customHeight="1" x14ac:dyDescent="0.3">
      <c r="A596" s="23"/>
      <c r="B596"/>
    </row>
    <row r="597" spans="1:2" ht="16.5" customHeight="1" x14ac:dyDescent="0.3">
      <c r="A597" s="23"/>
      <c r="B597"/>
    </row>
    <row r="598" spans="1:2" ht="16.5" customHeight="1" x14ac:dyDescent="0.3">
      <c r="A598" s="23"/>
      <c r="B598"/>
    </row>
    <row r="599" spans="1:2" ht="16.5" customHeight="1" x14ac:dyDescent="0.3">
      <c r="A599" s="23"/>
      <c r="B599"/>
    </row>
    <row r="600" spans="1:2" ht="16.5" customHeight="1" x14ac:dyDescent="0.3">
      <c r="A600" s="23"/>
      <c r="B600"/>
    </row>
    <row r="601" spans="1:2" ht="16.5" customHeight="1" x14ac:dyDescent="0.3">
      <c r="A601" s="23"/>
      <c r="B601"/>
    </row>
    <row r="602" spans="1:2" ht="16.5" customHeight="1" x14ac:dyDescent="0.3">
      <c r="A602" s="23"/>
      <c r="B602"/>
    </row>
    <row r="603" spans="1:2" ht="16.5" customHeight="1" x14ac:dyDescent="0.3">
      <c r="A603" s="23"/>
      <c r="B603"/>
    </row>
    <row r="604" spans="1:2" ht="16.5" customHeight="1" x14ac:dyDescent="0.3">
      <c r="A604" s="23"/>
      <c r="B604"/>
    </row>
    <row r="605" spans="1:2" ht="16.5" customHeight="1" x14ac:dyDescent="0.3">
      <c r="A605" s="23"/>
      <c r="B605"/>
    </row>
    <row r="606" spans="1:2" ht="16.5" customHeight="1" x14ac:dyDescent="0.3">
      <c r="A606" s="23"/>
      <c r="B606"/>
    </row>
    <row r="607" spans="1:2" ht="16.5" customHeight="1" x14ac:dyDescent="0.3">
      <c r="A607" s="23"/>
      <c r="B607"/>
    </row>
    <row r="608" spans="1:2" ht="16.5" customHeight="1" x14ac:dyDescent="0.3">
      <c r="A608" s="23"/>
      <c r="B608"/>
    </row>
    <row r="609" spans="1:2" ht="16.5" customHeight="1" x14ac:dyDescent="0.3">
      <c r="A609" s="23"/>
      <c r="B609"/>
    </row>
    <row r="610" spans="1:2" ht="16.5" customHeight="1" x14ac:dyDescent="0.3">
      <c r="A610" s="23"/>
      <c r="B610"/>
    </row>
    <row r="611" spans="1:2" ht="16.5" customHeight="1" x14ac:dyDescent="0.3">
      <c r="A611" s="23"/>
      <c r="B611"/>
    </row>
    <row r="612" spans="1:2" ht="16.5" customHeight="1" x14ac:dyDescent="0.3">
      <c r="A612" s="23"/>
      <c r="B612"/>
    </row>
    <row r="613" spans="1:2" ht="16.5" customHeight="1" x14ac:dyDescent="0.3">
      <c r="A613" s="23"/>
      <c r="B613"/>
    </row>
    <row r="614" spans="1:2" ht="16.5" customHeight="1" x14ac:dyDescent="0.3">
      <c r="A614" s="23"/>
      <c r="B614"/>
    </row>
    <row r="615" spans="1:2" ht="16.5" customHeight="1" x14ac:dyDescent="0.3">
      <c r="A615" s="23"/>
      <c r="B615"/>
    </row>
    <row r="616" spans="1:2" ht="16.5" customHeight="1" x14ac:dyDescent="0.3">
      <c r="A616" s="23"/>
      <c r="B616"/>
    </row>
    <row r="617" spans="1:2" ht="16.5" customHeight="1" x14ac:dyDescent="0.3">
      <c r="A617" s="23"/>
      <c r="B617"/>
    </row>
    <row r="618" spans="1:2" ht="16.5" customHeight="1" x14ac:dyDescent="0.3">
      <c r="A618" s="23"/>
      <c r="B618"/>
    </row>
    <row r="619" spans="1:2" ht="16.5" customHeight="1" x14ac:dyDescent="0.3">
      <c r="A619" s="23"/>
      <c r="B619"/>
    </row>
    <row r="620" spans="1:2" ht="16.5" customHeight="1" x14ac:dyDescent="0.3">
      <c r="A620" s="23"/>
      <c r="B620"/>
    </row>
    <row r="621" spans="1:2" ht="16.5" customHeight="1" x14ac:dyDescent="0.3">
      <c r="A621" s="23"/>
      <c r="B621"/>
    </row>
    <row r="622" spans="1:2" ht="16.5" customHeight="1" x14ac:dyDescent="0.3">
      <c r="A622" s="23"/>
      <c r="B622"/>
    </row>
    <row r="623" spans="1:2" ht="16.5" customHeight="1" x14ac:dyDescent="0.3">
      <c r="A623" s="23"/>
      <c r="B623"/>
    </row>
    <row r="624" spans="1:2" ht="16.5" customHeight="1" x14ac:dyDescent="0.3">
      <c r="A624" s="23"/>
      <c r="B624"/>
    </row>
    <row r="625" spans="1:2" ht="16.5" customHeight="1" x14ac:dyDescent="0.3">
      <c r="A625" s="23"/>
      <c r="B625"/>
    </row>
    <row r="626" spans="1:2" ht="16.5" customHeight="1" x14ac:dyDescent="0.3">
      <c r="A626" s="23"/>
      <c r="B626"/>
    </row>
    <row r="627" spans="1:2" ht="16.5" customHeight="1" x14ac:dyDescent="0.3">
      <c r="A627" s="23"/>
      <c r="B627"/>
    </row>
    <row r="628" spans="1:2" ht="16.5" customHeight="1" x14ac:dyDescent="0.3">
      <c r="A628" s="23"/>
      <c r="B628"/>
    </row>
    <row r="629" spans="1:2" ht="16.5" customHeight="1" x14ac:dyDescent="0.3">
      <c r="A629" s="23"/>
      <c r="B629"/>
    </row>
    <row r="630" spans="1:2" ht="16.5" customHeight="1" x14ac:dyDescent="0.3">
      <c r="A630" s="23"/>
      <c r="B630"/>
    </row>
    <row r="631" spans="1:2" ht="16.5" customHeight="1" x14ac:dyDescent="0.3">
      <c r="A631" s="23"/>
      <c r="B631"/>
    </row>
    <row r="632" spans="1:2" ht="16.5" customHeight="1" x14ac:dyDescent="0.3">
      <c r="A632" s="23"/>
      <c r="B632"/>
    </row>
    <row r="633" spans="1:2" ht="16.5" customHeight="1" x14ac:dyDescent="0.3">
      <c r="A633" s="23"/>
      <c r="B633"/>
    </row>
    <row r="634" spans="1:2" ht="16.5" customHeight="1" x14ac:dyDescent="0.3">
      <c r="A634" s="23"/>
      <c r="B634"/>
    </row>
    <row r="635" spans="1:2" ht="16.5" customHeight="1" x14ac:dyDescent="0.3">
      <c r="A635" s="23"/>
      <c r="B635"/>
    </row>
    <row r="636" spans="1:2" ht="16.5" customHeight="1" x14ac:dyDescent="0.3">
      <c r="A636" s="23"/>
      <c r="B636"/>
    </row>
    <row r="637" spans="1:2" ht="16.5" customHeight="1" x14ac:dyDescent="0.3">
      <c r="A637" s="23"/>
      <c r="B637"/>
    </row>
    <row r="638" spans="1:2" ht="16.5" customHeight="1" x14ac:dyDescent="0.3">
      <c r="A638" s="23"/>
      <c r="B638"/>
    </row>
    <row r="639" spans="1:2" ht="16.5" customHeight="1" x14ac:dyDescent="0.3">
      <c r="A639" s="23"/>
      <c r="B639"/>
    </row>
    <row r="640" spans="1:2" ht="16.5" customHeight="1" x14ac:dyDescent="0.3">
      <c r="A640" s="23"/>
      <c r="B640"/>
    </row>
    <row r="641" spans="1:2" ht="16.5" customHeight="1" x14ac:dyDescent="0.3">
      <c r="A641" s="23"/>
      <c r="B641"/>
    </row>
    <row r="642" spans="1:2" ht="16.5" customHeight="1" x14ac:dyDescent="0.3">
      <c r="A642" s="23"/>
      <c r="B642"/>
    </row>
    <row r="643" spans="1:2" ht="16.5" customHeight="1" x14ac:dyDescent="0.3">
      <c r="A643" s="23"/>
      <c r="B643"/>
    </row>
    <row r="644" spans="1:2" ht="16.5" customHeight="1" x14ac:dyDescent="0.3">
      <c r="A644" s="23"/>
      <c r="B644"/>
    </row>
    <row r="645" spans="1:2" ht="16.5" customHeight="1" x14ac:dyDescent="0.3">
      <c r="A645" s="23"/>
      <c r="B645"/>
    </row>
    <row r="646" spans="1:2" ht="16.5" customHeight="1" x14ac:dyDescent="0.3">
      <c r="A646" s="23"/>
      <c r="B646"/>
    </row>
    <row r="647" spans="1:2" ht="16.5" customHeight="1" x14ac:dyDescent="0.3">
      <c r="A647" s="23"/>
      <c r="B647"/>
    </row>
    <row r="648" spans="1:2" ht="16.5" customHeight="1" x14ac:dyDescent="0.3">
      <c r="A648" s="23"/>
      <c r="B648"/>
    </row>
    <row r="649" spans="1:2" ht="16.5" customHeight="1" x14ac:dyDescent="0.3">
      <c r="A649" s="23"/>
      <c r="B649"/>
    </row>
    <row r="650" spans="1:2" ht="16.5" customHeight="1" x14ac:dyDescent="0.3">
      <c r="A650" s="23"/>
      <c r="B650"/>
    </row>
    <row r="651" spans="1:2" ht="16.5" customHeight="1" x14ac:dyDescent="0.3">
      <c r="A651" s="23"/>
      <c r="B651"/>
    </row>
    <row r="652" spans="1:2" ht="16.5" customHeight="1" x14ac:dyDescent="0.3">
      <c r="A652" s="23"/>
      <c r="B652"/>
    </row>
    <row r="653" spans="1:2" ht="16.5" customHeight="1" x14ac:dyDescent="0.3">
      <c r="A653" s="23"/>
      <c r="B653"/>
    </row>
    <row r="654" spans="1:2" ht="16.5" customHeight="1" x14ac:dyDescent="0.3">
      <c r="A654" s="23"/>
      <c r="B654"/>
    </row>
    <row r="655" spans="1:2" ht="16.5" customHeight="1" x14ac:dyDescent="0.3">
      <c r="A655" s="23"/>
      <c r="B655"/>
    </row>
    <row r="656" spans="1:2" ht="16.5" customHeight="1" x14ac:dyDescent="0.3">
      <c r="A656" s="23"/>
      <c r="B656"/>
    </row>
    <row r="657" spans="1:2" ht="16.5" customHeight="1" x14ac:dyDescent="0.3">
      <c r="A657" s="23"/>
      <c r="B657"/>
    </row>
    <row r="658" spans="1:2" ht="16.5" customHeight="1" x14ac:dyDescent="0.3">
      <c r="A658" s="23"/>
      <c r="B658"/>
    </row>
    <row r="659" spans="1:2" ht="16.5" customHeight="1" x14ac:dyDescent="0.3">
      <c r="A659" s="23"/>
      <c r="B659"/>
    </row>
    <row r="660" spans="1:2" ht="16.5" customHeight="1" x14ac:dyDescent="0.3">
      <c r="A660" s="23"/>
      <c r="B660"/>
    </row>
    <row r="661" spans="1:2" ht="16.5" customHeight="1" x14ac:dyDescent="0.3">
      <c r="A661" s="23"/>
      <c r="B661"/>
    </row>
    <row r="662" spans="1:2" ht="16.5" customHeight="1" x14ac:dyDescent="0.3">
      <c r="A662" s="23"/>
      <c r="B662"/>
    </row>
    <row r="663" spans="1:2" ht="16.5" customHeight="1" x14ac:dyDescent="0.3">
      <c r="A663" s="23"/>
      <c r="B663"/>
    </row>
    <row r="664" spans="1:2" ht="16.5" customHeight="1" x14ac:dyDescent="0.3">
      <c r="A664" s="23"/>
      <c r="B664"/>
    </row>
    <row r="665" spans="1:2" ht="16.5" customHeight="1" x14ac:dyDescent="0.3">
      <c r="A665" s="23"/>
      <c r="B665"/>
    </row>
    <row r="666" spans="1:2" ht="16.5" customHeight="1" x14ac:dyDescent="0.3">
      <c r="A666" s="23"/>
      <c r="B666"/>
    </row>
    <row r="667" spans="1:2" ht="16.5" customHeight="1" x14ac:dyDescent="0.3">
      <c r="A667" s="23"/>
      <c r="B667"/>
    </row>
    <row r="668" spans="1:2" ht="16.5" customHeight="1" x14ac:dyDescent="0.3">
      <c r="A668" s="23"/>
      <c r="B668"/>
    </row>
    <row r="669" spans="1:2" ht="16.5" customHeight="1" x14ac:dyDescent="0.3">
      <c r="A669" s="23"/>
      <c r="B669"/>
    </row>
    <row r="670" spans="1:2" ht="16.5" customHeight="1" x14ac:dyDescent="0.3">
      <c r="A670" s="23"/>
      <c r="B670"/>
    </row>
    <row r="671" spans="1:2" ht="16.5" customHeight="1" x14ac:dyDescent="0.3">
      <c r="A671" s="23"/>
      <c r="B671"/>
    </row>
    <row r="672" spans="1:2" ht="16.5" customHeight="1" x14ac:dyDescent="0.3">
      <c r="A672" s="23"/>
      <c r="B672"/>
    </row>
    <row r="673" spans="1:2" ht="16.5" customHeight="1" x14ac:dyDescent="0.3">
      <c r="A673" s="23"/>
      <c r="B673"/>
    </row>
    <row r="674" spans="1:2" ht="16.5" customHeight="1" x14ac:dyDescent="0.3">
      <c r="A674" s="23"/>
      <c r="B674"/>
    </row>
    <row r="675" spans="1:2" ht="16.5" customHeight="1" x14ac:dyDescent="0.3">
      <c r="A675" s="23"/>
      <c r="B675"/>
    </row>
    <row r="676" spans="1:2" ht="16.5" customHeight="1" x14ac:dyDescent="0.3">
      <c r="A676" s="23"/>
      <c r="B676"/>
    </row>
    <row r="677" spans="1:2" ht="16.5" customHeight="1" x14ac:dyDescent="0.3">
      <c r="A677" s="23"/>
      <c r="B677"/>
    </row>
    <row r="678" spans="1:2" ht="16.5" customHeight="1" x14ac:dyDescent="0.3">
      <c r="A678" s="23"/>
      <c r="B678"/>
    </row>
    <row r="679" spans="1:2" ht="16.5" customHeight="1" x14ac:dyDescent="0.3">
      <c r="A679" s="23"/>
      <c r="B679"/>
    </row>
    <row r="680" spans="1:2" ht="16.5" customHeight="1" x14ac:dyDescent="0.3">
      <c r="A680" s="23"/>
      <c r="B680"/>
    </row>
    <row r="681" spans="1:2" ht="16.5" customHeight="1" x14ac:dyDescent="0.3">
      <c r="A681" s="23"/>
      <c r="B681"/>
    </row>
    <row r="682" spans="1:2" ht="16.5" customHeight="1" x14ac:dyDescent="0.3">
      <c r="A682" s="23"/>
      <c r="B682"/>
    </row>
    <row r="683" spans="1:2" ht="16.5" customHeight="1" x14ac:dyDescent="0.3">
      <c r="A683" s="23"/>
      <c r="B683"/>
    </row>
    <row r="684" spans="1:2" ht="16.5" customHeight="1" x14ac:dyDescent="0.3">
      <c r="A684" s="23"/>
      <c r="B684"/>
    </row>
    <row r="685" spans="1:2" ht="16.5" customHeight="1" x14ac:dyDescent="0.3">
      <c r="A685" s="23"/>
      <c r="B685"/>
    </row>
    <row r="686" spans="1:2" ht="16.5" customHeight="1" x14ac:dyDescent="0.3">
      <c r="A686" s="23"/>
      <c r="B686"/>
    </row>
    <row r="687" spans="1:2" ht="16.5" customHeight="1" x14ac:dyDescent="0.3">
      <c r="A687" s="23"/>
      <c r="B687"/>
    </row>
    <row r="688" spans="1:2" ht="16.5" customHeight="1" x14ac:dyDescent="0.3">
      <c r="A688" s="23"/>
      <c r="B688"/>
    </row>
    <row r="689" spans="1:2" ht="16.5" customHeight="1" x14ac:dyDescent="0.3">
      <c r="A689" s="23"/>
      <c r="B689"/>
    </row>
    <row r="690" spans="1:2" ht="16.5" customHeight="1" x14ac:dyDescent="0.3">
      <c r="A690" s="23"/>
      <c r="B690"/>
    </row>
    <row r="691" spans="1:2" ht="16.5" customHeight="1" x14ac:dyDescent="0.3">
      <c r="A691" s="23"/>
      <c r="B691"/>
    </row>
    <row r="692" spans="1:2" ht="16.5" customHeight="1" x14ac:dyDescent="0.3">
      <c r="A692" s="23"/>
      <c r="B692"/>
    </row>
    <row r="693" spans="1:2" ht="16.5" customHeight="1" x14ac:dyDescent="0.3">
      <c r="A693" s="23"/>
      <c r="B693"/>
    </row>
    <row r="694" spans="1:2" ht="16.5" customHeight="1" x14ac:dyDescent="0.3">
      <c r="A694" s="23"/>
      <c r="B694"/>
    </row>
    <row r="695" spans="1:2" ht="16.5" customHeight="1" x14ac:dyDescent="0.3">
      <c r="A695" s="23"/>
      <c r="B695"/>
    </row>
    <row r="696" spans="1:2" ht="16.5" customHeight="1" x14ac:dyDescent="0.3">
      <c r="A696" s="23"/>
      <c r="B696"/>
    </row>
    <row r="697" spans="1:2" ht="16.5" customHeight="1" x14ac:dyDescent="0.3">
      <c r="A697" s="23"/>
      <c r="B697"/>
    </row>
    <row r="698" spans="1:2" ht="16.5" customHeight="1" x14ac:dyDescent="0.3">
      <c r="A698" s="23"/>
      <c r="B698"/>
    </row>
    <row r="699" spans="1:2" ht="16.5" customHeight="1" x14ac:dyDescent="0.3">
      <c r="A699" s="23"/>
      <c r="B699"/>
    </row>
    <row r="700" spans="1:2" ht="16.5" customHeight="1" x14ac:dyDescent="0.3">
      <c r="A700" s="23"/>
      <c r="B700"/>
    </row>
    <row r="701" spans="1:2" ht="16.5" customHeight="1" x14ac:dyDescent="0.3">
      <c r="A701" s="23"/>
      <c r="B701"/>
    </row>
    <row r="702" spans="1:2" ht="16.5" customHeight="1" x14ac:dyDescent="0.3">
      <c r="A702" s="23"/>
      <c r="B702"/>
    </row>
    <row r="703" spans="1:2" ht="16.5" customHeight="1" x14ac:dyDescent="0.3">
      <c r="A703" s="23"/>
      <c r="B703"/>
    </row>
    <row r="704" spans="1:2" ht="16.5" customHeight="1" x14ac:dyDescent="0.3">
      <c r="A704" s="23"/>
      <c r="B704"/>
    </row>
    <row r="705" spans="1:2" ht="16.5" customHeight="1" x14ac:dyDescent="0.3">
      <c r="A705" s="23"/>
      <c r="B705"/>
    </row>
    <row r="706" spans="1:2" ht="16.5" customHeight="1" x14ac:dyDescent="0.3">
      <c r="A706" s="23"/>
      <c r="B706"/>
    </row>
    <row r="707" spans="1:2" ht="16.5" customHeight="1" x14ac:dyDescent="0.3">
      <c r="A707" s="23"/>
      <c r="B707"/>
    </row>
    <row r="708" spans="1:2" ht="16.5" customHeight="1" x14ac:dyDescent="0.3">
      <c r="A708" s="23"/>
      <c r="B708"/>
    </row>
    <row r="709" spans="1:2" ht="16.5" customHeight="1" x14ac:dyDescent="0.3">
      <c r="A709" s="23"/>
      <c r="B709"/>
    </row>
    <row r="710" spans="1:2" ht="16.5" customHeight="1" x14ac:dyDescent="0.3">
      <c r="A710" s="23"/>
      <c r="B710"/>
    </row>
    <row r="711" spans="1:2" ht="16.5" customHeight="1" x14ac:dyDescent="0.3">
      <c r="A711" s="23"/>
      <c r="B711"/>
    </row>
    <row r="712" spans="1:2" ht="16.5" customHeight="1" x14ac:dyDescent="0.3">
      <c r="A712" s="23"/>
      <c r="B712"/>
    </row>
    <row r="713" spans="1:2" ht="16.5" customHeight="1" x14ac:dyDescent="0.3">
      <c r="A713" s="23"/>
      <c r="B713"/>
    </row>
    <row r="714" spans="1:2" ht="16.5" customHeight="1" x14ac:dyDescent="0.3">
      <c r="A714" s="23"/>
      <c r="B714"/>
    </row>
    <row r="715" spans="1:2" ht="16.5" customHeight="1" x14ac:dyDescent="0.3">
      <c r="A715" s="23"/>
      <c r="B715"/>
    </row>
    <row r="716" spans="1:2" ht="16.5" customHeight="1" x14ac:dyDescent="0.3">
      <c r="A716" s="23"/>
      <c r="B716"/>
    </row>
    <row r="717" spans="1:2" ht="16.5" customHeight="1" x14ac:dyDescent="0.3">
      <c r="A717" s="23"/>
      <c r="B717"/>
    </row>
    <row r="718" spans="1:2" ht="16.5" customHeight="1" x14ac:dyDescent="0.3">
      <c r="A718" s="23"/>
      <c r="B718"/>
    </row>
    <row r="719" spans="1:2" ht="16.5" customHeight="1" x14ac:dyDescent="0.3">
      <c r="A719" s="23"/>
      <c r="B719"/>
    </row>
    <row r="720" spans="1:2" ht="16.5" customHeight="1" x14ac:dyDescent="0.3">
      <c r="A720" s="23"/>
      <c r="B720"/>
    </row>
    <row r="721" spans="1:2" ht="16.5" customHeight="1" x14ac:dyDescent="0.3">
      <c r="A721" s="23"/>
      <c r="B721"/>
    </row>
    <row r="722" spans="1:2" ht="16.5" customHeight="1" x14ac:dyDescent="0.3">
      <c r="A722" s="23"/>
      <c r="B722"/>
    </row>
    <row r="723" spans="1:2" ht="16.5" customHeight="1" x14ac:dyDescent="0.3">
      <c r="A723" s="23"/>
      <c r="B723"/>
    </row>
    <row r="724" spans="1:2" ht="16.5" customHeight="1" x14ac:dyDescent="0.3">
      <c r="A724" s="23"/>
      <c r="B724"/>
    </row>
    <row r="725" spans="1:2" ht="16.5" customHeight="1" x14ac:dyDescent="0.3">
      <c r="A725" s="23"/>
      <c r="B725"/>
    </row>
    <row r="726" spans="1:2" ht="16.5" customHeight="1" x14ac:dyDescent="0.3">
      <c r="A726" s="23"/>
      <c r="B726"/>
    </row>
    <row r="727" spans="1:2" ht="16.5" customHeight="1" x14ac:dyDescent="0.3">
      <c r="A727" s="23"/>
      <c r="B727"/>
    </row>
    <row r="728" spans="1:2" ht="16.5" customHeight="1" x14ac:dyDescent="0.3">
      <c r="A728" s="23"/>
      <c r="B728"/>
    </row>
    <row r="729" spans="1:2" ht="16.5" customHeight="1" x14ac:dyDescent="0.3">
      <c r="A729" s="23"/>
      <c r="B729"/>
    </row>
    <row r="730" spans="1:2" ht="16.5" customHeight="1" x14ac:dyDescent="0.3">
      <c r="A730" s="23"/>
      <c r="B730"/>
    </row>
    <row r="731" spans="1:2" ht="16.5" customHeight="1" x14ac:dyDescent="0.3">
      <c r="A731" s="23"/>
      <c r="B731"/>
    </row>
    <row r="732" spans="1:2" ht="16.5" customHeight="1" x14ac:dyDescent="0.3">
      <c r="A732" s="23"/>
      <c r="B732"/>
    </row>
    <row r="733" spans="1:2" ht="16.5" customHeight="1" x14ac:dyDescent="0.3">
      <c r="A733" s="23"/>
      <c r="B733"/>
    </row>
    <row r="734" spans="1:2" ht="16.5" customHeight="1" x14ac:dyDescent="0.3">
      <c r="A734" s="23"/>
      <c r="B734"/>
    </row>
    <row r="735" spans="1:2" ht="16.5" customHeight="1" x14ac:dyDescent="0.3">
      <c r="A735" s="23"/>
      <c r="B735"/>
    </row>
    <row r="736" spans="1:2" ht="16.5" customHeight="1" x14ac:dyDescent="0.3">
      <c r="A736" s="23"/>
      <c r="B736"/>
    </row>
    <row r="737" spans="1:2" ht="16.5" customHeight="1" x14ac:dyDescent="0.3">
      <c r="A737" s="23"/>
      <c r="B737"/>
    </row>
    <row r="738" spans="1:2" ht="16.5" customHeight="1" x14ac:dyDescent="0.3">
      <c r="A738" s="23"/>
      <c r="B738"/>
    </row>
    <row r="739" spans="1:2" ht="16.5" customHeight="1" x14ac:dyDescent="0.3">
      <c r="A739" s="23"/>
      <c r="B739"/>
    </row>
    <row r="740" spans="1:2" ht="16.5" customHeight="1" x14ac:dyDescent="0.3">
      <c r="A740" s="23"/>
      <c r="B740"/>
    </row>
    <row r="741" spans="1:2" ht="16.5" customHeight="1" x14ac:dyDescent="0.3">
      <c r="A741" s="23"/>
      <c r="B741"/>
    </row>
    <row r="742" spans="1:2" ht="16.5" customHeight="1" x14ac:dyDescent="0.3">
      <c r="A742" s="23"/>
      <c r="B742"/>
    </row>
    <row r="743" spans="1:2" ht="16.5" customHeight="1" x14ac:dyDescent="0.3">
      <c r="A743" s="23"/>
      <c r="B743"/>
    </row>
    <row r="744" spans="1:2" ht="16.5" customHeight="1" x14ac:dyDescent="0.3">
      <c r="A744" s="23"/>
      <c r="B744"/>
    </row>
    <row r="745" spans="1:2" ht="16.5" customHeight="1" x14ac:dyDescent="0.3">
      <c r="A745" s="23"/>
      <c r="B745"/>
    </row>
    <row r="746" spans="1:2" ht="16.5" customHeight="1" x14ac:dyDescent="0.3">
      <c r="A746" s="23"/>
      <c r="B746"/>
    </row>
    <row r="747" spans="1:2" ht="16.5" customHeight="1" x14ac:dyDescent="0.3">
      <c r="A747" s="23"/>
      <c r="B747"/>
    </row>
    <row r="748" spans="1:2" ht="16.5" customHeight="1" x14ac:dyDescent="0.3">
      <c r="A748" s="23"/>
      <c r="B748"/>
    </row>
    <row r="749" spans="1:2" ht="16.5" customHeight="1" x14ac:dyDescent="0.3">
      <c r="A749" s="23"/>
      <c r="B749"/>
    </row>
    <row r="750" spans="1:2" ht="16.5" customHeight="1" x14ac:dyDescent="0.3">
      <c r="A750" s="23"/>
      <c r="B750"/>
    </row>
    <row r="751" spans="1:2" ht="16.5" customHeight="1" x14ac:dyDescent="0.3">
      <c r="A751" s="23"/>
      <c r="B751"/>
    </row>
    <row r="752" spans="1:2" ht="16.5" customHeight="1" x14ac:dyDescent="0.3">
      <c r="A752" s="23"/>
      <c r="B752"/>
    </row>
    <row r="753" spans="1:2" ht="16.5" customHeight="1" x14ac:dyDescent="0.3">
      <c r="A753" s="23"/>
      <c r="B753"/>
    </row>
    <row r="754" spans="1:2" ht="16.5" customHeight="1" x14ac:dyDescent="0.3">
      <c r="A754" s="23"/>
      <c r="B754"/>
    </row>
    <row r="755" spans="1:2" ht="16.5" customHeight="1" x14ac:dyDescent="0.3">
      <c r="A755" s="23"/>
      <c r="B755"/>
    </row>
    <row r="756" spans="1:2" ht="16.5" customHeight="1" x14ac:dyDescent="0.3">
      <c r="A756" s="23"/>
      <c r="B756"/>
    </row>
    <row r="757" spans="1:2" ht="16.5" customHeight="1" x14ac:dyDescent="0.3">
      <c r="A757" s="23"/>
      <c r="B757"/>
    </row>
    <row r="758" spans="1:2" ht="16.5" customHeight="1" x14ac:dyDescent="0.3">
      <c r="A758" s="23"/>
      <c r="B758"/>
    </row>
    <row r="759" spans="1:2" ht="16.5" customHeight="1" x14ac:dyDescent="0.3">
      <c r="A759" s="23"/>
      <c r="B759"/>
    </row>
    <row r="760" spans="1:2" ht="16.5" customHeight="1" x14ac:dyDescent="0.3">
      <c r="A760" s="23"/>
      <c r="B760"/>
    </row>
    <row r="761" spans="1:2" ht="16.5" customHeight="1" x14ac:dyDescent="0.3">
      <c r="A761" s="23"/>
      <c r="B761"/>
    </row>
    <row r="762" spans="1:2" ht="16.5" customHeight="1" x14ac:dyDescent="0.3">
      <c r="A762" s="23"/>
      <c r="B762"/>
    </row>
    <row r="763" spans="1:2" ht="16.5" customHeight="1" x14ac:dyDescent="0.3">
      <c r="A763" s="23"/>
      <c r="B763"/>
    </row>
    <row r="764" spans="1:2" ht="16.5" customHeight="1" x14ac:dyDescent="0.3">
      <c r="A764" s="23"/>
      <c r="B764"/>
    </row>
    <row r="765" spans="1:2" ht="16.5" customHeight="1" x14ac:dyDescent="0.3">
      <c r="A765" s="23"/>
      <c r="B765"/>
    </row>
    <row r="766" spans="1:2" ht="16.5" customHeight="1" x14ac:dyDescent="0.3">
      <c r="A766" s="23"/>
      <c r="B766"/>
    </row>
    <row r="767" spans="1:2" ht="16.5" customHeight="1" x14ac:dyDescent="0.3">
      <c r="A767" s="23"/>
      <c r="B767"/>
    </row>
    <row r="768" spans="1:2" ht="16.5" customHeight="1" x14ac:dyDescent="0.3">
      <c r="A768" s="23"/>
      <c r="B768"/>
    </row>
    <row r="769" spans="1:2" ht="16.5" customHeight="1" x14ac:dyDescent="0.3">
      <c r="A769" s="23"/>
      <c r="B769"/>
    </row>
    <row r="770" spans="1:2" ht="16.5" customHeight="1" x14ac:dyDescent="0.3">
      <c r="A770" s="23"/>
      <c r="B770"/>
    </row>
    <row r="771" spans="1:2" ht="16.5" customHeight="1" x14ac:dyDescent="0.3">
      <c r="A771" s="23"/>
      <c r="B771"/>
    </row>
    <row r="772" spans="1:2" ht="16.5" customHeight="1" x14ac:dyDescent="0.3">
      <c r="A772" s="23"/>
      <c r="B772"/>
    </row>
    <row r="773" spans="1:2" ht="16.5" customHeight="1" x14ac:dyDescent="0.3">
      <c r="A773" s="23"/>
      <c r="B773"/>
    </row>
    <row r="774" spans="1:2" ht="16.5" customHeight="1" x14ac:dyDescent="0.3">
      <c r="A774" s="23"/>
      <c r="B774"/>
    </row>
    <row r="775" spans="1:2" ht="16.5" customHeight="1" x14ac:dyDescent="0.3">
      <c r="A775" s="23"/>
      <c r="B775"/>
    </row>
    <row r="776" spans="1:2" ht="16.5" customHeight="1" x14ac:dyDescent="0.3">
      <c r="A776" s="23"/>
      <c r="B776"/>
    </row>
    <row r="777" spans="1:2" ht="16.5" customHeight="1" x14ac:dyDescent="0.3">
      <c r="A777" s="23"/>
      <c r="B777"/>
    </row>
    <row r="778" spans="1:2" ht="16.5" customHeight="1" x14ac:dyDescent="0.3">
      <c r="A778" s="23"/>
      <c r="B778"/>
    </row>
    <row r="779" spans="1:2" ht="16.5" customHeight="1" x14ac:dyDescent="0.3">
      <c r="A779" s="23"/>
      <c r="B779"/>
    </row>
    <row r="780" spans="1:2" ht="16.5" customHeight="1" x14ac:dyDescent="0.3">
      <c r="A780" s="23"/>
      <c r="B780"/>
    </row>
    <row r="781" spans="1:2" ht="16.5" customHeight="1" x14ac:dyDescent="0.3">
      <c r="A781" s="23"/>
      <c r="B781"/>
    </row>
    <row r="782" spans="1:2" ht="16.5" customHeight="1" x14ac:dyDescent="0.3">
      <c r="A782" s="23"/>
      <c r="B782"/>
    </row>
    <row r="783" spans="1:2" ht="16.5" customHeight="1" x14ac:dyDescent="0.3">
      <c r="A783" s="23"/>
      <c r="B783"/>
    </row>
    <row r="784" spans="1:2" ht="16.5" customHeight="1" x14ac:dyDescent="0.3">
      <c r="A784" s="23"/>
      <c r="B784"/>
    </row>
    <row r="785" spans="1:2" ht="16.5" customHeight="1" x14ac:dyDescent="0.3">
      <c r="A785" s="23"/>
      <c r="B785"/>
    </row>
    <row r="786" spans="1:2" ht="16.5" customHeight="1" x14ac:dyDescent="0.3">
      <c r="A786" s="23"/>
      <c r="B786"/>
    </row>
    <row r="787" spans="1:2" ht="16.5" customHeight="1" x14ac:dyDescent="0.3">
      <c r="A787" s="23"/>
      <c r="B787"/>
    </row>
    <row r="788" spans="1:2" ht="16.5" customHeight="1" x14ac:dyDescent="0.3">
      <c r="A788" s="23"/>
      <c r="B788"/>
    </row>
    <row r="789" spans="1:2" ht="16.5" customHeight="1" x14ac:dyDescent="0.3">
      <c r="A789" s="23"/>
      <c r="B789"/>
    </row>
    <row r="790" spans="1:2" ht="16.5" customHeight="1" x14ac:dyDescent="0.3">
      <c r="A790" s="23"/>
      <c r="B790"/>
    </row>
    <row r="791" spans="1:2" ht="16.5" customHeight="1" x14ac:dyDescent="0.3">
      <c r="A791" s="23"/>
      <c r="B791"/>
    </row>
    <row r="792" spans="1:2" ht="16.5" customHeight="1" x14ac:dyDescent="0.3">
      <c r="A792" s="23"/>
      <c r="B792"/>
    </row>
    <row r="793" spans="1:2" ht="16.5" customHeight="1" x14ac:dyDescent="0.3">
      <c r="A793" s="23"/>
      <c r="B793"/>
    </row>
    <row r="794" spans="1:2" ht="16.5" customHeight="1" x14ac:dyDescent="0.3">
      <c r="A794" s="23"/>
      <c r="B794"/>
    </row>
    <row r="795" spans="1:2" ht="16.5" customHeight="1" x14ac:dyDescent="0.3">
      <c r="A795" s="23"/>
      <c r="B795"/>
    </row>
    <row r="796" spans="1:2" ht="16.5" customHeight="1" x14ac:dyDescent="0.3">
      <c r="A796" s="23"/>
      <c r="B796"/>
    </row>
    <row r="797" spans="1:2" ht="16.5" customHeight="1" x14ac:dyDescent="0.3">
      <c r="A797" s="23"/>
      <c r="B797"/>
    </row>
    <row r="798" spans="1:2" ht="16.5" customHeight="1" x14ac:dyDescent="0.3">
      <c r="A798" s="23"/>
      <c r="B798"/>
    </row>
    <row r="799" spans="1:2" ht="16.5" customHeight="1" x14ac:dyDescent="0.3">
      <c r="A799" s="23"/>
      <c r="B799"/>
    </row>
    <row r="800" spans="1:2" ht="16.5" customHeight="1" x14ac:dyDescent="0.3">
      <c r="A800" s="23"/>
      <c r="B800"/>
    </row>
    <row r="801" spans="1:2" ht="16.5" customHeight="1" x14ac:dyDescent="0.3">
      <c r="A801" s="23"/>
      <c r="B801"/>
    </row>
    <row r="802" spans="1:2" ht="16.5" customHeight="1" x14ac:dyDescent="0.3">
      <c r="A802" s="23"/>
      <c r="B802"/>
    </row>
    <row r="803" spans="1:2" ht="16.5" customHeight="1" x14ac:dyDescent="0.3">
      <c r="A803" s="23"/>
      <c r="B803"/>
    </row>
    <row r="804" spans="1:2" ht="16.5" customHeight="1" x14ac:dyDescent="0.3">
      <c r="A804" s="23"/>
      <c r="B804"/>
    </row>
    <row r="805" spans="1:2" ht="16.5" customHeight="1" x14ac:dyDescent="0.3">
      <c r="A805" s="23"/>
      <c r="B805"/>
    </row>
    <row r="806" spans="1:2" ht="16.5" customHeight="1" x14ac:dyDescent="0.3">
      <c r="A806" s="23"/>
      <c r="B806"/>
    </row>
    <row r="807" spans="1:2" ht="16.5" customHeight="1" x14ac:dyDescent="0.3">
      <c r="A807" s="23"/>
      <c r="B807"/>
    </row>
    <row r="808" spans="1:2" ht="16.5" customHeight="1" x14ac:dyDescent="0.3">
      <c r="A808" s="23"/>
      <c r="B808"/>
    </row>
    <row r="809" spans="1:2" ht="16.5" customHeight="1" x14ac:dyDescent="0.3">
      <c r="A809" s="23"/>
      <c r="B809"/>
    </row>
    <row r="810" spans="1:2" ht="16.5" customHeight="1" x14ac:dyDescent="0.3">
      <c r="A810" s="23"/>
      <c r="B810"/>
    </row>
    <row r="811" spans="1:2" ht="16.5" customHeight="1" x14ac:dyDescent="0.3">
      <c r="A811" s="23"/>
      <c r="B811"/>
    </row>
    <row r="812" spans="1:2" ht="16.5" customHeight="1" x14ac:dyDescent="0.3">
      <c r="A812" s="23"/>
      <c r="B812"/>
    </row>
    <row r="813" spans="1:2" ht="16.5" customHeight="1" x14ac:dyDescent="0.3">
      <c r="A813" s="23"/>
      <c r="B813"/>
    </row>
    <row r="814" spans="1:2" ht="16.5" customHeight="1" x14ac:dyDescent="0.3">
      <c r="A814" s="23"/>
      <c r="B814"/>
    </row>
    <row r="815" spans="1:2" ht="16.5" customHeight="1" x14ac:dyDescent="0.3">
      <c r="A815" s="23"/>
      <c r="B815"/>
    </row>
    <row r="816" spans="1:2" ht="16.5" customHeight="1" x14ac:dyDescent="0.3">
      <c r="A816" s="23"/>
      <c r="B816"/>
    </row>
    <row r="817" spans="1:2" ht="16.5" customHeight="1" x14ac:dyDescent="0.3">
      <c r="A817" s="23"/>
      <c r="B817"/>
    </row>
    <row r="818" spans="1:2" ht="16.5" customHeight="1" x14ac:dyDescent="0.3">
      <c r="A818" s="23"/>
      <c r="B818"/>
    </row>
    <row r="819" spans="1:2" ht="16.5" customHeight="1" x14ac:dyDescent="0.3">
      <c r="A819" s="23"/>
      <c r="B819"/>
    </row>
    <row r="820" spans="1:2" ht="16.5" customHeight="1" x14ac:dyDescent="0.3">
      <c r="A820" s="23"/>
      <c r="B820"/>
    </row>
    <row r="821" spans="1:2" ht="16.5" customHeight="1" x14ac:dyDescent="0.3">
      <c r="A821" s="23"/>
      <c r="B821"/>
    </row>
    <row r="822" spans="1:2" ht="16.5" customHeight="1" x14ac:dyDescent="0.3">
      <c r="A822" s="23"/>
      <c r="B822"/>
    </row>
    <row r="823" spans="1:2" ht="16.5" customHeight="1" x14ac:dyDescent="0.3">
      <c r="A823" s="23"/>
      <c r="B823"/>
    </row>
    <row r="824" spans="1:2" ht="16.5" customHeight="1" x14ac:dyDescent="0.3">
      <c r="A824" s="23"/>
      <c r="B824"/>
    </row>
    <row r="825" spans="1:2" ht="16.5" customHeight="1" x14ac:dyDescent="0.3">
      <c r="A825" s="23"/>
      <c r="B825"/>
    </row>
    <row r="826" spans="1:2" ht="16.5" customHeight="1" x14ac:dyDescent="0.3">
      <c r="A826" s="23"/>
      <c r="B826"/>
    </row>
    <row r="827" spans="1:2" ht="16.5" customHeight="1" x14ac:dyDescent="0.3">
      <c r="A827" s="23"/>
      <c r="B827"/>
    </row>
    <row r="828" spans="1:2" ht="16.5" customHeight="1" x14ac:dyDescent="0.3">
      <c r="A828" s="23"/>
      <c r="B828"/>
    </row>
    <row r="829" spans="1:2" ht="16.5" customHeight="1" x14ac:dyDescent="0.3">
      <c r="A829" s="23"/>
      <c r="B829"/>
    </row>
    <row r="830" spans="1:2" ht="16.5" customHeight="1" x14ac:dyDescent="0.3">
      <c r="A830" s="23"/>
      <c r="B830"/>
    </row>
    <row r="831" spans="1:2" ht="16.5" customHeight="1" x14ac:dyDescent="0.3">
      <c r="A831" s="23"/>
      <c r="B831"/>
    </row>
    <row r="832" spans="1:2" ht="16.5" customHeight="1" x14ac:dyDescent="0.3">
      <c r="A832" s="23"/>
      <c r="B832"/>
    </row>
    <row r="833" spans="1:2" ht="16.5" customHeight="1" x14ac:dyDescent="0.3">
      <c r="A833" s="23"/>
      <c r="B833"/>
    </row>
    <row r="834" spans="1:2" ht="16.5" customHeight="1" x14ac:dyDescent="0.3">
      <c r="A834" s="23"/>
      <c r="B834"/>
    </row>
    <row r="835" spans="1:2" ht="16.5" customHeight="1" x14ac:dyDescent="0.3">
      <c r="A835" s="23"/>
      <c r="B835"/>
    </row>
    <row r="836" spans="1:2" ht="16.5" customHeight="1" x14ac:dyDescent="0.3">
      <c r="A836" s="23"/>
      <c r="B836"/>
    </row>
    <row r="837" spans="1:2" ht="16.5" customHeight="1" x14ac:dyDescent="0.3">
      <c r="A837" s="23"/>
      <c r="B837"/>
    </row>
    <row r="838" spans="1:2" ht="16.5" customHeight="1" x14ac:dyDescent="0.3">
      <c r="A838" s="23"/>
      <c r="B838"/>
    </row>
    <row r="839" spans="1:2" ht="16.5" customHeight="1" x14ac:dyDescent="0.3">
      <c r="A839" s="23"/>
      <c r="B839"/>
    </row>
    <row r="840" spans="1:2" ht="16.5" customHeight="1" x14ac:dyDescent="0.3">
      <c r="A840" s="23"/>
      <c r="B840"/>
    </row>
    <row r="841" spans="1:2" ht="16.5" customHeight="1" x14ac:dyDescent="0.3">
      <c r="A841" s="23"/>
      <c r="B841"/>
    </row>
    <row r="842" spans="1:2" ht="16.5" customHeight="1" x14ac:dyDescent="0.3">
      <c r="A842" s="23"/>
      <c r="B842"/>
    </row>
    <row r="843" spans="1:2" ht="16.5" customHeight="1" x14ac:dyDescent="0.3">
      <c r="A843" s="23"/>
      <c r="B843"/>
    </row>
    <row r="844" spans="1:2" ht="16.5" customHeight="1" x14ac:dyDescent="0.3">
      <c r="A844" s="23"/>
      <c r="B844"/>
    </row>
    <row r="845" spans="1:2" ht="16.5" customHeight="1" x14ac:dyDescent="0.3">
      <c r="A845" s="23"/>
      <c r="B845"/>
    </row>
    <row r="846" spans="1:2" ht="16.5" customHeight="1" x14ac:dyDescent="0.3">
      <c r="A846" s="23"/>
      <c r="B846"/>
    </row>
    <row r="847" spans="1:2" ht="16.5" customHeight="1" x14ac:dyDescent="0.3">
      <c r="A847" s="23"/>
      <c r="B847"/>
    </row>
    <row r="848" spans="1:2" ht="16.5" customHeight="1" x14ac:dyDescent="0.3">
      <c r="A848" s="23"/>
      <c r="B848"/>
    </row>
    <row r="849" spans="1:2" ht="16.5" customHeight="1" x14ac:dyDescent="0.3">
      <c r="A849" s="23"/>
      <c r="B849"/>
    </row>
    <row r="850" spans="1:2" ht="16.5" customHeight="1" x14ac:dyDescent="0.3">
      <c r="A850" s="23"/>
      <c r="B850"/>
    </row>
    <row r="851" spans="1:2" ht="16.5" customHeight="1" x14ac:dyDescent="0.3">
      <c r="A851" s="23"/>
      <c r="B851"/>
    </row>
    <row r="852" spans="1:2" ht="16.5" customHeight="1" x14ac:dyDescent="0.3">
      <c r="A852" s="23"/>
      <c r="B852"/>
    </row>
    <row r="853" spans="1:2" ht="16.5" customHeight="1" x14ac:dyDescent="0.3">
      <c r="A853" s="23"/>
      <c r="B853"/>
    </row>
    <row r="854" spans="1:2" ht="16.5" customHeight="1" x14ac:dyDescent="0.3">
      <c r="A854" s="23"/>
      <c r="B854"/>
    </row>
    <row r="855" spans="1:2" ht="16.5" customHeight="1" x14ac:dyDescent="0.3">
      <c r="A855" s="23"/>
      <c r="B855"/>
    </row>
    <row r="856" spans="1:2" ht="16.5" customHeight="1" x14ac:dyDescent="0.3">
      <c r="A856" s="23"/>
      <c r="B856"/>
    </row>
    <row r="857" spans="1:2" ht="16.5" customHeight="1" x14ac:dyDescent="0.3">
      <c r="A857" s="23"/>
      <c r="B857"/>
    </row>
    <row r="858" spans="1:2" ht="16.5" customHeight="1" x14ac:dyDescent="0.3">
      <c r="A858" s="23"/>
      <c r="B858"/>
    </row>
    <row r="859" spans="1:2" ht="16.5" customHeight="1" x14ac:dyDescent="0.3">
      <c r="A859" s="23"/>
      <c r="B859"/>
    </row>
    <row r="860" spans="1:2" ht="16.5" customHeight="1" x14ac:dyDescent="0.3">
      <c r="A860" s="23"/>
      <c r="B860"/>
    </row>
    <row r="861" spans="1:2" ht="16.5" customHeight="1" x14ac:dyDescent="0.3">
      <c r="A861" s="23"/>
      <c r="B861"/>
    </row>
    <row r="862" spans="1:2" ht="16.5" customHeight="1" x14ac:dyDescent="0.3">
      <c r="A862" s="23"/>
      <c r="B862"/>
    </row>
    <row r="863" spans="1:2" ht="16.5" customHeight="1" x14ac:dyDescent="0.3">
      <c r="A863" s="23"/>
      <c r="B863"/>
    </row>
    <row r="864" spans="1:2" ht="16.5" customHeight="1" x14ac:dyDescent="0.3">
      <c r="A864" s="23"/>
      <c r="B864"/>
    </row>
    <row r="865" spans="1:2" ht="16.5" customHeight="1" x14ac:dyDescent="0.3">
      <c r="A865" s="23"/>
      <c r="B865"/>
    </row>
    <row r="866" spans="1:2" ht="16.5" customHeight="1" x14ac:dyDescent="0.3">
      <c r="A866" s="23"/>
      <c r="B866"/>
    </row>
    <row r="867" spans="1:2" ht="16.5" customHeight="1" x14ac:dyDescent="0.3">
      <c r="A867" s="23"/>
      <c r="B867"/>
    </row>
    <row r="868" spans="1:2" ht="16.5" customHeight="1" x14ac:dyDescent="0.3">
      <c r="A868" s="23"/>
      <c r="B868"/>
    </row>
    <row r="869" spans="1:2" ht="16.5" customHeight="1" x14ac:dyDescent="0.3">
      <c r="A869" s="23"/>
      <c r="B869"/>
    </row>
    <row r="870" spans="1:2" ht="16.5" customHeight="1" x14ac:dyDescent="0.3">
      <c r="A870" s="23"/>
      <c r="B870"/>
    </row>
    <row r="871" spans="1:2" ht="16.5" customHeight="1" x14ac:dyDescent="0.3">
      <c r="A871" s="23"/>
      <c r="B871"/>
    </row>
    <row r="872" spans="1:2" ht="16.5" customHeight="1" x14ac:dyDescent="0.3">
      <c r="A872" s="23"/>
      <c r="B872"/>
    </row>
    <row r="873" spans="1:2" ht="16.5" customHeight="1" x14ac:dyDescent="0.3">
      <c r="A873" s="23"/>
      <c r="B873"/>
    </row>
    <row r="874" spans="1:2" ht="16.5" customHeight="1" x14ac:dyDescent="0.3">
      <c r="A874" s="23"/>
      <c r="B874"/>
    </row>
    <row r="875" spans="1:2" ht="16.5" customHeight="1" x14ac:dyDescent="0.3">
      <c r="A875" s="23"/>
      <c r="B875"/>
    </row>
    <row r="876" spans="1:2" ht="16.5" customHeight="1" x14ac:dyDescent="0.3">
      <c r="A876" s="23"/>
      <c r="B876"/>
    </row>
    <row r="877" spans="1:2" ht="16.5" customHeight="1" x14ac:dyDescent="0.3">
      <c r="A877" s="23"/>
      <c r="B877"/>
    </row>
    <row r="878" spans="1:2" ht="16.5" customHeight="1" x14ac:dyDescent="0.3">
      <c r="A878" s="23"/>
      <c r="B878"/>
    </row>
    <row r="879" spans="1:2" ht="16.5" customHeight="1" x14ac:dyDescent="0.3">
      <c r="A879" s="23"/>
      <c r="B879"/>
    </row>
    <row r="880" spans="1:2" ht="16.5" customHeight="1" x14ac:dyDescent="0.3">
      <c r="A880" s="23"/>
      <c r="B880"/>
    </row>
    <row r="881" spans="1:2" ht="16.5" customHeight="1" x14ac:dyDescent="0.3">
      <c r="A881" s="23"/>
      <c r="B881"/>
    </row>
    <row r="882" spans="1:2" ht="16.5" customHeight="1" x14ac:dyDescent="0.3">
      <c r="A882" s="23"/>
      <c r="B882"/>
    </row>
    <row r="883" spans="1:2" ht="16.5" customHeight="1" x14ac:dyDescent="0.3">
      <c r="A883" s="23"/>
      <c r="B883"/>
    </row>
    <row r="884" spans="1:2" ht="16.5" customHeight="1" x14ac:dyDescent="0.3">
      <c r="A884" s="23"/>
      <c r="B884"/>
    </row>
    <row r="885" spans="1:2" ht="16.5" customHeight="1" x14ac:dyDescent="0.3">
      <c r="A885" s="23"/>
      <c r="B885"/>
    </row>
    <row r="886" spans="1:2" ht="16.5" customHeight="1" x14ac:dyDescent="0.3">
      <c r="A886" s="23"/>
      <c r="B886"/>
    </row>
    <row r="887" spans="1:2" ht="16.5" customHeight="1" x14ac:dyDescent="0.3">
      <c r="A887" s="23"/>
      <c r="B887"/>
    </row>
    <row r="888" spans="1:2" ht="16.5" customHeight="1" x14ac:dyDescent="0.3">
      <c r="A888" s="23"/>
      <c r="B888"/>
    </row>
    <row r="889" spans="1:2" ht="16.5" customHeight="1" x14ac:dyDescent="0.3">
      <c r="A889" s="23"/>
      <c r="B889"/>
    </row>
    <row r="890" spans="1:2" ht="16.5" customHeight="1" x14ac:dyDescent="0.3">
      <c r="A890" s="23"/>
      <c r="B890"/>
    </row>
    <row r="891" spans="1:2" ht="16.5" customHeight="1" x14ac:dyDescent="0.3">
      <c r="A891" s="23"/>
      <c r="B891"/>
    </row>
    <row r="892" spans="1:2" ht="16.5" customHeight="1" x14ac:dyDescent="0.3">
      <c r="A892" s="23"/>
      <c r="B892"/>
    </row>
    <row r="893" spans="1:2" ht="16.5" customHeight="1" x14ac:dyDescent="0.3">
      <c r="A893" s="23"/>
      <c r="B893"/>
    </row>
    <row r="894" spans="1:2" ht="16.5" customHeight="1" x14ac:dyDescent="0.3">
      <c r="A894" s="23"/>
      <c r="B894"/>
    </row>
    <row r="895" spans="1:2" ht="16.5" customHeight="1" x14ac:dyDescent="0.3">
      <c r="A895" s="23"/>
      <c r="B895"/>
    </row>
    <row r="896" spans="1:2" ht="16.5" customHeight="1" x14ac:dyDescent="0.3">
      <c r="A896" s="23"/>
      <c r="B896"/>
    </row>
    <row r="897" spans="1:2" ht="16.5" customHeight="1" x14ac:dyDescent="0.3">
      <c r="A897" s="23"/>
      <c r="B897"/>
    </row>
    <row r="898" spans="1:2" ht="16.5" customHeight="1" x14ac:dyDescent="0.3">
      <c r="A898" s="23"/>
      <c r="B898"/>
    </row>
    <row r="899" spans="1:2" ht="16.5" customHeight="1" x14ac:dyDescent="0.3">
      <c r="A899" s="23"/>
      <c r="B899"/>
    </row>
    <row r="900" spans="1:2" ht="16.5" customHeight="1" x14ac:dyDescent="0.3">
      <c r="A900" s="23"/>
      <c r="B900"/>
    </row>
    <row r="901" spans="1:2" ht="16.5" customHeight="1" x14ac:dyDescent="0.3">
      <c r="A901" s="23"/>
      <c r="B901"/>
    </row>
    <row r="902" spans="1:2" ht="16.5" customHeight="1" x14ac:dyDescent="0.3">
      <c r="A902" s="23"/>
      <c r="B902"/>
    </row>
    <row r="903" spans="1:2" ht="16.5" customHeight="1" x14ac:dyDescent="0.3">
      <c r="A903" s="23"/>
      <c r="B903"/>
    </row>
    <row r="904" spans="1:2" ht="16.5" customHeight="1" x14ac:dyDescent="0.3">
      <c r="A904" s="23"/>
      <c r="B904"/>
    </row>
    <row r="905" spans="1:2" ht="16.5" customHeight="1" x14ac:dyDescent="0.3">
      <c r="A905" s="23"/>
      <c r="B905"/>
    </row>
    <row r="906" spans="1:2" ht="16.5" customHeight="1" x14ac:dyDescent="0.3">
      <c r="A906" s="23"/>
      <c r="B906"/>
    </row>
    <row r="907" spans="1:2" ht="16.5" customHeight="1" x14ac:dyDescent="0.3">
      <c r="A907" s="23"/>
      <c r="B907"/>
    </row>
    <row r="908" spans="1:2" ht="16.5" customHeight="1" x14ac:dyDescent="0.3">
      <c r="A908" s="23"/>
      <c r="B908"/>
    </row>
    <row r="909" spans="1:2" ht="16.5" customHeight="1" x14ac:dyDescent="0.3">
      <c r="A909" s="23"/>
      <c r="B909"/>
    </row>
    <row r="910" spans="1:2" ht="16.5" customHeight="1" x14ac:dyDescent="0.3">
      <c r="A910" s="23"/>
      <c r="B910"/>
    </row>
    <row r="911" spans="1:2" ht="16.5" customHeight="1" x14ac:dyDescent="0.3">
      <c r="A911" s="23"/>
      <c r="B911"/>
    </row>
    <row r="912" spans="1:2" ht="16.5" customHeight="1" x14ac:dyDescent="0.3">
      <c r="A912" s="23"/>
      <c r="B912"/>
    </row>
    <row r="913" spans="1:2" ht="16.5" customHeight="1" x14ac:dyDescent="0.3">
      <c r="A913" s="23"/>
      <c r="B913"/>
    </row>
    <row r="914" spans="1:2" ht="16.5" customHeight="1" x14ac:dyDescent="0.3">
      <c r="A914" s="23"/>
      <c r="B914"/>
    </row>
    <row r="915" spans="1:2" ht="16.5" customHeight="1" x14ac:dyDescent="0.3">
      <c r="A915" s="23"/>
      <c r="B915"/>
    </row>
    <row r="916" spans="1:2" ht="16.5" customHeight="1" x14ac:dyDescent="0.3">
      <c r="A916" s="23"/>
      <c r="B916"/>
    </row>
    <row r="917" spans="1:2" ht="16.5" customHeight="1" x14ac:dyDescent="0.3">
      <c r="A917" s="23"/>
      <c r="B917"/>
    </row>
    <row r="918" spans="1:2" ht="16.5" customHeight="1" x14ac:dyDescent="0.3">
      <c r="A918" s="23"/>
      <c r="B918"/>
    </row>
    <row r="919" spans="1:2" ht="16.5" customHeight="1" x14ac:dyDescent="0.3">
      <c r="A919" s="23"/>
      <c r="B919"/>
    </row>
    <row r="920" spans="1:2" ht="16.5" customHeight="1" x14ac:dyDescent="0.3">
      <c r="A920" s="23"/>
      <c r="B920"/>
    </row>
    <row r="921" spans="1:2" ht="16.5" customHeight="1" x14ac:dyDescent="0.3">
      <c r="A921" s="23"/>
      <c r="B921"/>
    </row>
    <row r="922" spans="1:2" ht="16.5" customHeight="1" x14ac:dyDescent="0.3">
      <c r="A922" s="23"/>
      <c r="B922"/>
    </row>
    <row r="923" spans="1:2" ht="16.5" customHeight="1" x14ac:dyDescent="0.3">
      <c r="A923" s="23"/>
      <c r="B923"/>
    </row>
    <row r="924" spans="1:2" ht="16.5" customHeight="1" x14ac:dyDescent="0.3">
      <c r="A924" s="23"/>
      <c r="B924"/>
    </row>
    <row r="925" spans="1:2" ht="16.5" customHeight="1" x14ac:dyDescent="0.3">
      <c r="A925" s="23"/>
      <c r="B925"/>
    </row>
    <row r="926" spans="1:2" ht="16.5" customHeight="1" x14ac:dyDescent="0.3">
      <c r="A926" s="23"/>
      <c r="B926"/>
    </row>
    <row r="927" spans="1:2" ht="16.5" customHeight="1" x14ac:dyDescent="0.3">
      <c r="A927" s="23"/>
      <c r="B927"/>
    </row>
    <row r="928" spans="1:2" ht="16.5" customHeight="1" x14ac:dyDescent="0.3">
      <c r="A928" s="23"/>
      <c r="B928"/>
    </row>
    <row r="929" spans="1:2" ht="16.5" customHeight="1" x14ac:dyDescent="0.3">
      <c r="A929" s="23"/>
      <c r="B929"/>
    </row>
    <row r="930" spans="1:2" ht="16.5" customHeight="1" x14ac:dyDescent="0.3">
      <c r="A930" s="23"/>
      <c r="B930"/>
    </row>
    <row r="931" spans="1:2" ht="16.5" customHeight="1" x14ac:dyDescent="0.3">
      <c r="A931" s="23"/>
      <c r="B931"/>
    </row>
    <row r="932" spans="1:2" ht="16.5" customHeight="1" x14ac:dyDescent="0.3">
      <c r="A932" s="23"/>
      <c r="B932"/>
    </row>
    <row r="933" spans="1:2" ht="16.5" customHeight="1" x14ac:dyDescent="0.3">
      <c r="A933" s="23"/>
      <c r="B933"/>
    </row>
    <row r="934" spans="1:2" ht="16.5" customHeight="1" x14ac:dyDescent="0.3">
      <c r="A934" s="23"/>
      <c r="B934"/>
    </row>
    <row r="935" spans="1:2" ht="16.5" customHeight="1" x14ac:dyDescent="0.3">
      <c r="A935" s="23"/>
      <c r="B935"/>
    </row>
    <row r="936" spans="1:2" ht="16.5" customHeight="1" x14ac:dyDescent="0.3">
      <c r="A936" s="23"/>
      <c r="B936"/>
    </row>
    <row r="937" spans="1:2" ht="16.5" customHeight="1" x14ac:dyDescent="0.3">
      <c r="A937" s="23"/>
      <c r="B937"/>
    </row>
    <row r="938" spans="1:2" ht="16.5" customHeight="1" x14ac:dyDescent="0.3">
      <c r="A938" s="23"/>
      <c r="B938"/>
    </row>
    <row r="939" spans="1:2" ht="16.5" customHeight="1" x14ac:dyDescent="0.3">
      <c r="A939" s="23"/>
      <c r="B939"/>
    </row>
    <row r="940" spans="1:2" ht="16.5" customHeight="1" x14ac:dyDescent="0.3">
      <c r="A940" s="23"/>
      <c r="B940"/>
    </row>
    <row r="941" spans="1:2" ht="16.5" customHeight="1" x14ac:dyDescent="0.3">
      <c r="A941" s="23"/>
      <c r="B941"/>
    </row>
    <row r="942" spans="1:2" ht="16.5" customHeight="1" x14ac:dyDescent="0.3">
      <c r="A942" s="23"/>
      <c r="B942"/>
    </row>
    <row r="943" spans="1:2" ht="16.5" customHeight="1" x14ac:dyDescent="0.3">
      <c r="A943" s="23"/>
      <c r="B943"/>
    </row>
    <row r="944" spans="1:2" ht="16.5" customHeight="1" x14ac:dyDescent="0.3">
      <c r="A944" s="23"/>
      <c r="B944"/>
    </row>
    <row r="945" spans="1:2" ht="16.5" customHeight="1" x14ac:dyDescent="0.3">
      <c r="A945" s="23"/>
      <c r="B945"/>
    </row>
    <row r="946" spans="1:2" ht="16.5" customHeight="1" x14ac:dyDescent="0.3">
      <c r="A946" s="23"/>
      <c r="B946"/>
    </row>
    <row r="947" spans="1:2" ht="16.5" customHeight="1" x14ac:dyDescent="0.3">
      <c r="A947" s="23"/>
      <c r="B947"/>
    </row>
    <row r="948" spans="1:2" ht="16.5" customHeight="1" x14ac:dyDescent="0.3">
      <c r="A948" s="23"/>
      <c r="B948"/>
    </row>
    <row r="949" spans="1:2" ht="16.5" customHeight="1" x14ac:dyDescent="0.3">
      <c r="A949" s="23"/>
      <c r="B949"/>
    </row>
    <row r="950" spans="1:2" ht="16.5" customHeight="1" x14ac:dyDescent="0.3">
      <c r="A950" s="23"/>
      <c r="B950"/>
    </row>
    <row r="951" spans="1:2" ht="16.5" customHeight="1" x14ac:dyDescent="0.3">
      <c r="A951" s="23"/>
      <c r="B951"/>
    </row>
    <row r="952" spans="1:2" ht="16.5" customHeight="1" x14ac:dyDescent="0.3">
      <c r="A952" s="23"/>
      <c r="B952"/>
    </row>
    <row r="953" spans="1:2" ht="16.5" customHeight="1" x14ac:dyDescent="0.3">
      <c r="A953" s="23"/>
      <c r="B953"/>
    </row>
    <row r="954" spans="1:2" ht="16.5" customHeight="1" x14ac:dyDescent="0.3">
      <c r="A954" s="23"/>
      <c r="B954"/>
    </row>
    <row r="955" spans="1:2" ht="16.5" customHeight="1" x14ac:dyDescent="0.3">
      <c r="A955" s="23"/>
      <c r="B955"/>
    </row>
    <row r="956" spans="1:2" ht="16.5" customHeight="1" x14ac:dyDescent="0.3">
      <c r="A956" s="23"/>
      <c r="B956"/>
    </row>
    <row r="957" spans="1:2" ht="16.5" customHeight="1" x14ac:dyDescent="0.3">
      <c r="A957" s="23"/>
      <c r="B957"/>
    </row>
    <row r="958" spans="1:2" ht="16.5" customHeight="1" x14ac:dyDescent="0.3">
      <c r="A958" s="23"/>
      <c r="B958"/>
    </row>
    <row r="959" spans="1:2" ht="16.5" customHeight="1" x14ac:dyDescent="0.3">
      <c r="A959" s="23"/>
      <c r="B959"/>
    </row>
    <row r="960" spans="1:2" ht="16.5" customHeight="1" x14ac:dyDescent="0.3">
      <c r="A960" s="23"/>
      <c r="B960"/>
    </row>
    <row r="961" spans="1:2" ht="16.5" customHeight="1" x14ac:dyDescent="0.3">
      <c r="A961" s="23"/>
      <c r="B961"/>
    </row>
    <row r="962" spans="1:2" ht="16.5" customHeight="1" x14ac:dyDescent="0.3">
      <c r="A962" s="23"/>
      <c r="B962"/>
    </row>
    <row r="963" spans="1:2" ht="16.5" customHeight="1" x14ac:dyDescent="0.3">
      <c r="A963" s="23"/>
      <c r="B963"/>
    </row>
    <row r="964" spans="1:2" ht="16.5" customHeight="1" x14ac:dyDescent="0.3">
      <c r="A964" s="23"/>
      <c r="B964"/>
    </row>
    <row r="965" spans="1:2" ht="16.5" customHeight="1" x14ac:dyDescent="0.3">
      <c r="A965" s="23"/>
      <c r="B965"/>
    </row>
    <row r="966" spans="1:2" ht="16.5" customHeight="1" x14ac:dyDescent="0.3">
      <c r="A966" s="23"/>
      <c r="B966"/>
    </row>
    <row r="967" spans="1:2" ht="16.5" customHeight="1" x14ac:dyDescent="0.3">
      <c r="A967" s="23"/>
      <c r="B967"/>
    </row>
    <row r="968" spans="1:2" ht="16.5" customHeight="1" x14ac:dyDescent="0.3">
      <c r="A968" s="23"/>
      <c r="B968"/>
    </row>
    <row r="969" spans="1:2" ht="16.5" customHeight="1" x14ac:dyDescent="0.3">
      <c r="A969" s="23"/>
      <c r="B969"/>
    </row>
    <row r="970" spans="1:2" ht="16.5" customHeight="1" x14ac:dyDescent="0.3">
      <c r="A970" s="23"/>
      <c r="B970"/>
    </row>
    <row r="971" spans="1:2" ht="16.5" customHeight="1" x14ac:dyDescent="0.3">
      <c r="A971" s="23"/>
      <c r="B971"/>
    </row>
    <row r="972" spans="1:2" ht="16.5" customHeight="1" x14ac:dyDescent="0.3">
      <c r="A972" s="23"/>
      <c r="B972"/>
    </row>
    <row r="973" spans="1:2" ht="16.5" customHeight="1" x14ac:dyDescent="0.3">
      <c r="A973" s="23"/>
      <c r="B973"/>
    </row>
    <row r="974" spans="1:2" ht="16.5" customHeight="1" x14ac:dyDescent="0.3">
      <c r="A974" s="23"/>
      <c r="B974"/>
    </row>
    <row r="975" spans="1:2" ht="16.5" customHeight="1" x14ac:dyDescent="0.3">
      <c r="A975" s="23"/>
      <c r="B975"/>
    </row>
    <row r="976" spans="1:2" ht="16.5" customHeight="1" x14ac:dyDescent="0.3">
      <c r="A976" s="23"/>
      <c r="B976"/>
    </row>
    <row r="977" spans="1:2" ht="16.5" customHeight="1" x14ac:dyDescent="0.3">
      <c r="A977" s="23"/>
      <c r="B977"/>
    </row>
    <row r="978" spans="1:2" ht="16.5" customHeight="1" x14ac:dyDescent="0.3">
      <c r="A978" s="23"/>
      <c r="B978"/>
    </row>
    <row r="979" spans="1:2" ht="16.5" customHeight="1" x14ac:dyDescent="0.3">
      <c r="A979" s="23"/>
      <c r="B979"/>
    </row>
    <row r="980" spans="1:2" ht="16.5" customHeight="1" x14ac:dyDescent="0.3">
      <c r="A980" s="23"/>
      <c r="B980"/>
    </row>
    <row r="981" spans="1:2" ht="16.5" customHeight="1" x14ac:dyDescent="0.3">
      <c r="A981" s="23"/>
      <c r="B981"/>
    </row>
    <row r="982" spans="1:2" ht="16.5" customHeight="1" x14ac:dyDescent="0.3">
      <c r="A982" s="23"/>
      <c r="B982"/>
    </row>
    <row r="983" spans="1:2" ht="16.5" customHeight="1" x14ac:dyDescent="0.3">
      <c r="A983" s="23"/>
      <c r="B983"/>
    </row>
    <row r="984" spans="1:2" ht="16.5" customHeight="1" x14ac:dyDescent="0.3">
      <c r="A984" s="23"/>
      <c r="B984"/>
    </row>
    <row r="985" spans="1:2" ht="16.5" customHeight="1" x14ac:dyDescent="0.3">
      <c r="A985" s="23"/>
      <c r="B985"/>
    </row>
    <row r="986" spans="1:2" ht="16.5" customHeight="1" x14ac:dyDescent="0.3">
      <c r="A986" s="23"/>
      <c r="B986"/>
    </row>
    <row r="987" spans="1:2" ht="16.5" customHeight="1" x14ac:dyDescent="0.3">
      <c r="A987" s="23"/>
      <c r="B987"/>
    </row>
    <row r="988" spans="1:2" ht="16.5" customHeight="1" x14ac:dyDescent="0.3">
      <c r="A988" s="23"/>
      <c r="B988"/>
    </row>
    <row r="989" spans="1:2" ht="16.5" customHeight="1" x14ac:dyDescent="0.3">
      <c r="A989" s="23"/>
      <c r="B989"/>
    </row>
    <row r="990" spans="1:2" ht="16.5" customHeight="1" x14ac:dyDescent="0.3">
      <c r="A990" s="23"/>
      <c r="B990"/>
    </row>
    <row r="991" spans="1:2" ht="16.5" customHeight="1" x14ac:dyDescent="0.3">
      <c r="A991" s="23"/>
      <c r="B991"/>
    </row>
    <row r="992" spans="1:2" ht="16.5" customHeight="1" x14ac:dyDescent="0.3">
      <c r="A992" s="23"/>
      <c r="B992"/>
    </row>
    <row r="993" spans="1:2" ht="16.5" customHeight="1" x14ac:dyDescent="0.3">
      <c r="A993" s="23"/>
      <c r="B993"/>
    </row>
    <row r="994" spans="1:2" ht="16.5" customHeight="1" x14ac:dyDescent="0.3">
      <c r="A994" s="23"/>
      <c r="B994"/>
    </row>
    <row r="995" spans="1:2" ht="16.5" customHeight="1" x14ac:dyDescent="0.3">
      <c r="A995" s="23"/>
      <c r="B995"/>
    </row>
    <row r="996" spans="1:2" ht="16.5" customHeight="1" x14ac:dyDescent="0.3">
      <c r="A996" s="23"/>
      <c r="B996"/>
    </row>
    <row r="997" spans="1:2" ht="16.5" customHeight="1" x14ac:dyDescent="0.3">
      <c r="A997" s="23"/>
      <c r="B997"/>
    </row>
    <row r="998" spans="1:2" ht="16.5" customHeight="1" x14ac:dyDescent="0.3">
      <c r="A998" s="23"/>
      <c r="B998"/>
    </row>
    <row r="999" spans="1:2" ht="16.5" customHeight="1" x14ac:dyDescent="0.3">
      <c r="A999" s="23"/>
      <c r="B999"/>
    </row>
    <row r="1000" spans="1:2" ht="16.5" customHeight="1" x14ac:dyDescent="0.3">
      <c r="A1000" s="23"/>
      <c r="B1000"/>
    </row>
    <row r="1001" spans="1:2" ht="16.5" customHeight="1" x14ac:dyDescent="0.3">
      <c r="A1001" s="23"/>
      <c r="B1001"/>
    </row>
    <row r="1002" spans="1:2" ht="16.5" customHeight="1" x14ac:dyDescent="0.3">
      <c r="A1002" s="23"/>
      <c r="B1002"/>
    </row>
    <row r="1003" spans="1:2" ht="16.5" customHeight="1" x14ac:dyDescent="0.3">
      <c r="A1003" s="23"/>
      <c r="B1003"/>
    </row>
    <row r="1004" spans="1:2" ht="16.5" customHeight="1" x14ac:dyDescent="0.3">
      <c r="A1004" s="23"/>
      <c r="B1004"/>
    </row>
    <row r="1005" spans="1:2" ht="16.5" customHeight="1" x14ac:dyDescent="0.3">
      <c r="A1005" s="23"/>
      <c r="B1005"/>
    </row>
    <row r="1006" spans="1:2" ht="16.5" customHeight="1" x14ac:dyDescent="0.3">
      <c r="A1006" s="23"/>
      <c r="B1006"/>
    </row>
    <row r="1007" spans="1:2" ht="16.5" customHeight="1" x14ac:dyDescent="0.3">
      <c r="A1007" s="23"/>
      <c r="B1007"/>
    </row>
    <row r="1008" spans="1:2" ht="16.5" customHeight="1" x14ac:dyDescent="0.3">
      <c r="A1008" s="23"/>
      <c r="B1008"/>
    </row>
    <row r="1009" spans="1:2" ht="16.5" customHeight="1" x14ac:dyDescent="0.3">
      <c r="A1009" s="23"/>
      <c r="B1009"/>
    </row>
    <row r="1010" spans="1:2" ht="16.5" customHeight="1" x14ac:dyDescent="0.3">
      <c r="A1010" s="23"/>
      <c r="B1010"/>
    </row>
    <row r="1011" spans="1:2" ht="16.5" customHeight="1" x14ac:dyDescent="0.3">
      <c r="A1011" s="23"/>
      <c r="B1011"/>
    </row>
    <row r="1012" spans="1:2" ht="16.5" customHeight="1" x14ac:dyDescent="0.3">
      <c r="A1012" s="23"/>
      <c r="B1012"/>
    </row>
    <row r="1013" spans="1:2" ht="16.5" customHeight="1" x14ac:dyDescent="0.3">
      <c r="A1013" s="23"/>
      <c r="B1013"/>
    </row>
    <row r="1014" spans="1:2" ht="16.5" customHeight="1" x14ac:dyDescent="0.3">
      <c r="A1014" s="23"/>
      <c r="B1014"/>
    </row>
    <row r="1015" spans="1:2" ht="16.5" customHeight="1" x14ac:dyDescent="0.3">
      <c r="A1015" s="23"/>
      <c r="B1015"/>
    </row>
    <row r="1016" spans="1:2" ht="16.5" customHeight="1" x14ac:dyDescent="0.3">
      <c r="A1016" s="23"/>
      <c r="B1016"/>
    </row>
    <row r="1017" spans="1:2" ht="16.5" customHeight="1" x14ac:dyDescent="0.3">
      <c r="A1017" s="23"/>
      <c r="B1017"/>
    </row>
    <row r="1018" spans="1:2" ht="16.5" customHeight="1" x14ac:dyDescent="0.3">
      <c r="A1018" s="23"/>
      <c r="B1018"/>
    </row>
    <row r="1019" spans="1:2" ht="16.5" customHeight="1" x14ac:dyDescent="0.3">
      <c r="A1019" s="23"/>
      <c r="B1019"/>
    </row>
    <row r="1020" spans="1:2" ht="16.5" customHeight="1" x14ac:dyDescent="0.3">
      <c r="A1020" s="23"/>
      <c r="B1020"/>
    </row>
    <row r="1021" spans="1:2" ht="16.5" customHeight="1" x14ac:dyDescent="0.3">
      <c r="A1021" s="23"/>
      <c r="B1021"/>
    </row>
    <row r="1022" spans="1:2" ht="16.5" customHeight="1" x14ac:dyDescent="0.3">
      <c r="A1022" s="23"/>
      <c r="B1022"/>
    </row>
    <row r="1023" spans="1:2" ht="16.5" customHeight="1" x14ac:dyDescent="0.3">
      <c r="A1023" s="23"/>
      <c r="B1023"/>
    </row>
    <row r="1024" spans="1:2" ht="16.5" customHeight="1" x14ac:dyDescent="0.3">
      <c r="A1024" s="23"/>
      <c r="B1024"/>
    </row>
    <row r="1025" spans="1:2" ht="16.5" customHeight="1" x14ac:dyDescent="0.3">
      <c r="A1025" s="23"/>
      <c r="B1025"/>
    </row>
    <row r="1026" spans="1:2" ht="16.5" customHeight="1" x14ac:dyDescent="0.3">
      <c r="A1026" s="23"/>
      <c r="B1026"/>
    </row>
    <row r="1027" spans="1:2" ht="16.5" customHeight="1" x14ac:dyDescent="0.3">
      <c r="A1027" s="23"/>
      <c r="B1027"/>
    </row>
    <row r="1028" spans="1:2" ht="16.5" customHeight="1" x14ac:dyDescent="0.3">
      <c r="A1028" s="23"/>
      <c r="B1028"/>
    </row>
    <row r="1029" spans="1:2" ht="16.5" customHeight="1" x14ac:dyDescent="0.3">
      <c r="A1029" s="23"/>
      <c r="B1029"/>
    </row>
    <row r="1030" spans="1:2" ht="16.5" customHeight="1" x14ac:dyDescent="0.3">
      <c r="A1030" s="23"/>
      <c r="B1030"/>
    </row>
    <row r="1031" spans="1:2" ht="16.5" customHeight="1" x14ac:dyDescent="0.3">
      <c r="A1031" s="23"/>
      <c r="B1031"/>
    </row>
    <row r="1032" spans="1:2" ht="16.5" customHeight="1" x14ac:dyDescent="0.3">
      <c r="A1032" s="23"/>
      <c r="B1032"/>
    </row>
    <row r="1033" spans="1:2" ht="16.5" customHeight="1" x14ac:dyDescent="0.3">
      <c r="A1033" s="23"/>
      <c r="B1033"/>
    </row>
    <row r="1034" spans="1:2" ht="16.5" customHeight="1" x14ac:dyDescent="0.3">
      <c r="A1034" s="23"/>
      <c r="B1034"/>
    </row>
    <row r="1035" spans="1:2" ht="16.5" customHeight="1" x14ac:dyDescent="0.3">
      <c r="A1035" s="23"/>
      <c r="B1035"/>
    </row>
    <row r="1036" spans="1:2" ht="16.5" customHeight="1" x14ac:dyDescent="0.3">
      <c r="A1036" s="23"/>
      <c r="B1036"/>
    </row>
    <row r="1037" spans="1:2" ht="16.5" customHeight="1" x14ac:dyDescent="0.3">
      <c r="A1037" s="23"/>
      <c r="B1037"/>
    </row>
    <row r="1038" spans="1:2" ht="16.5" customHeight="1" x14ac:dyDescent="0.3">
      <c r="A1038" s="23"/>
      <c r="B1038"/>
    </row>
    <row r="1039" spans="1:2" ht="16.5" customHeight="1" x14ac:dyDescent="0.3">
      <c r="A1039" s="23"/>
      <c r="B1039"/>
    </row>
    <row r="1040" spans="1:2" ht="16.5" customHeight="1" x14ac:dyDescent="0.3">
      <c r="A1040" s="23"/>
      <c r="B1040"/>
    </row>
    <row r="1041" spans="1:2" ht="16.5" customHeight="1" x14ac:dyDescent="0.3">
      <c r="A1041" s="23"/>
      <c r="B1041"/>
    </row>
    <row r="1042" spans="1:2" ht="16.5" customHeight="1" x14ac:dyDescent="0.3">
      <c r="A1042" s="23"/>
      <c r="B1042"/>
    </row>
    <row r="1043" spans="1:2" ht="16.5" customHeight="1" x14ac:dyDescent="0.3">
      <c r="A1043" s="23"/>
      <c r="B1043"/>
    </row>
    <row r="1044" spans="1:2" ht="16.5" customHeight="1" x14ac:dyDescent="0.3">
      <c r="A1044" s="23"/>
      <c r="B1044"/>
    </row>
    <row r="1045" spans="1:2" ht="16.5" customHeight="1" x14ac:dyDescent="0.3">
      <c r="A1045" s="23"/>
      <c r="B1045"/>
    </row>
    <row r="1046" spans="1:2" ht="16.5" customHeight="1" x14ac:dyDescent="0.3">
      <c r="A1046" s="23"/>
      <c r="B1046"/>
    </row>
    <row r="1047" spans="1:2" ht="16.5" customHeight="1" x14ac:dyDescent="0.3">
      <c r="A1047" s="23"/>
      <c r="B1047"/>
    </row>
    <row r="1048" spans="1:2" ht="16.5" customHeight="1" x14ac:dyDescent="0.3">
      <c r="A1048" s="23"/>
      <c r="B1048"/>
    </row>
    <row r="1049" spans="1:2" ht="16.5" customHeight="1" x14ac:dyDescent="0.3">
      <c r="A1049" s="23"/>
      <c r="B1049"/>
    </row>
    <row r="1050" spans="1:2" ht="16.5" customHeight="1" x14ac:dyDescent="0.3">
      <c r="A1050" s="23"/>
      <c r="B1050"/>
    </row>
    <row r="1051" spans="1:2" ht="16.5" customHeight="1" x14ac:dyDescent="0.3">
      <c r="A1051" s="23"/>
      <c r="B1051"/>
    </row>
    <row r="1052" spans="1:2" ht="16.5" customHeight="1" x14ac:dyDescent="0.3">
      <c r="A1052" s="23"/>
      <c r="B1052"/>
    </row>
    <row r="1053" spans="1:2" ht="16.5" customHeight="1" x14ac:dyDescent="0.3">
      <c r="A1053" s="23"/>
      <c r="B1053"/>
    </row>
    <row r="1054" spans="1:2" ht="16.5" customHeight="1" x14ac:dyDescent="0.3">
      <c r="A1054" s="23"/>
      <c r="B1054"/>
    </row>
    <row r="1055" spans="1:2" ht="16.5" customHeight="1" x14ac:dyDescent="0.3">
      <c r="A1055" s="23"/>
      <c r="B1055"/>
    </row>
    <row r="1056" spans="1:2" ht="16.5" customHeight="1" x14ac:dyDescent="0.3">
      <c r="A1056" s="23"/>
      <c r="B1056"/>
    </row>
    <row r="1057" spans="1:2" ht="16.5" customHeight="1" x14ac:dyDescent="0.3">
      <c r="A1057" s="23"/>
      <c r="B1057"/>
    </row>
    <row r="1058" spans="1:2" ht="16.5" customHeight="1" x14ac:dyDescent="0.3">
      <c r="A1058" s="23"/>
      <c r="B1058"/>
    </row>
    <row r="1059" spans="1:2" ht="16.5" customHeight="1" x14ac:dyDescent="0.3">
      <c r="A1059" s="23"/>
      <c r="B1059"/>
    </row>
    <row r="1060" spans="1:2" ht="16.5" customHeight="1" x14ac:dyDescent="0.3">
      <c r="A1060" s="23"/>
      <c r="B1060"/>
    </row>
    <row r="1061" spans="1:2" ht="16.5" customHeight="1" x14ac:dyDescent="0.3">
      <c r="A1061" s="23"/>
      <c r="B1061"/>
    </row>
    <row r="1062" spans="1:2" ht="16.5" customHeight="1" x14ac:dyDescent="0.3">
      <c r="A1062" s="23"/>
      <c r="B1062"/>
    </row>
    <row r="1063" spans="1:2" ht="16.5" customHeight="1" x14ac:dyDescent="0.3">
      <c r="A1063" s="23"/>
      <c r="B1063"/>
    </row>
    <row r="1064" spans="1:2" ht="16.5" customHeight="1" x14ac:dyDescent="0.3">
      <c r="A1064" s="23"/>
      <c r="B1064"/>
    </row>
    <row r="1065" spans="1:2" ht="16.5" customHeight="1" x14ac:dyDescent="0.3">
      <c r="A1065" s="23"/>
      <c r="B1065"/>
    </row>
    <row r="1066" spans="1:2" ht="16.5" customHeight="1" x14ac:dyDescent="0.3">
      <c r="A1066" s="23"/>
      <c r="B1066"/>
    </row>
    <row r="1067" spans="1:2" ht="16.5" customHeight="1" x14ac:dyDescent="0.3">
      <c r="A1067" s="23"/>
      <c r="B1067"/>
    </row>
    <row r="1068" spans="1:2" ht="16.5" customHeight="1" x14ac:dyDescent="0.3">
      <c r="A1068" s="23"/>
      <c r="B1068"/>
    </row>
    <row r="1069" spans="1:2" ht="16.5" customHeight="1" x14ac:dyDescent="0.3">
      <c r="A1069" s="23"/>
      <c r="B1069"/>
    </row>
    <row r="1070" spans="1:2" ht="16.5" customHeight="1" x14ac:dyDescent="0.3">
      <c r="A1070" s="23"/>
      <c r="B1070"/>
    </row>
    <row r="1071" spans="1:2" ht="16.5" customHeight="1" x14ac:dyDescent="0.3">
      <c r="A1071" s="23"/>
      <c r="B1071"/>
    </row>
    <row r="1072" spans="1:2" ht="16.5" customHeight="1" x14ac:dyDescent="0.3">
      <c r="A1072" s="23"/>
      <c r="B1072"/>
    </row>
    <row r="1073" spans="1:2" ht="16.5" customHeight="1" x14ac:dyDescent="0.3">
      <c r="A1073" s="23"/>
      <c r="B1073"/>
    </row>
    <row r="1074" spans="1:2" ht="16.5" customHeight="1" x14ac:dyDescent="0.3">
      <c r="A1074" s="23"/>
      <c r="B1074"/>
    </row>
    <row r="1075" spans="1:2" ht="16.5" customHeight="1" x14ac:dyDescent="0.3">
      <c r="A1075" s="23"/>
      <c r="B1075"/>
    </row>
    <row r="1076" spans="1:2" ht="16.5" customHeight="1" x14ac:dyDescent="0.3">
      <c r="A1076" s="23"/>
      <c r="B1076"/>
    </row>
    <row r="1077" spans="1:2" ht="16.5" customHeight="1" x14ac:dyDescent="0.3">
      <c r="A1077" s="23"/>
      <c r="B1077"/>
    </row>
    <row r="1078" spans="1:2" ht="16.5" customHeight="1" x14ac:dyDescent="0.3">
      <c r="A1078" s="23"/>
      <c r="B1078"/>
    </row>
    <row r="1079" spans="1:2" ht="16.5" customHeight="1" x14ac:dyDescent="0.3">
      <c r="A1079" s="23"/>
      <c r="B1079"/>
    </row>
    <row r="1080" spans="1:2" ht="16.5" customHeight="1" x14ac:dyDescent="0.3">
      <c r="A1080" s="23"/>
      <c r="B1080"/>
    </row>
    <row r="1081" spans="1:2" ht="16.5" customHeight="1" x14ac:dyDescent="0.3">
      <c r="A1081" s="23"/>
      <c r="B1081"/>
    </row>
    <row r="1082" spans="1:2" ht="16.5" customHeight="1" x14ac:dyDescent="0.3">
      <c r="A1082" s="23"/>
      <c r="B1082"/>
    </row>
    <row r="1083" spans="1:2" ht="16.5" customHeight="1" x14ac:dyDescent="0.3">
      <c r="A1083" s="23"/>
      <c r="B1083"/>
    </row>
    <row r="1084" spans="1:2" ht="16.5" customHeight="1" x14ac:dyDescent="0.3">
      <c r="A1084" s="23"/>
      <c r="B1084"/>
    </row>
    <row r="1085" spans="1:2" ht="16.5" customHeight="1" x14ac:dyDescent="0.3">
      <c r="A1085" s="23"/>
      <c r="B1085"/>
    </row>
    <row r="1086" spans="1:2" ht="16.5" customHeight="1" x14ac:dyDescent="0.3">
      <c r="A1086" s="23"/>
      <c r="B1086"/>
    </row>
    <row r="1087" spans="1:2" ht="16.5" customHeight="1" x14ac:dyDescent="0.3">
      <c r="A1087" s="23"/>
      <c r="B1087"/>
    </row>
    <row r="1088" spans="1:2" ht="16.5" customHeight="1" x14ac:dyDescent="0.3">
      <c r="A1088" s="23"/>
      <c r="B1088"/>
    </row>
    <row r="1089" spans="1:2" ht="16.5" customHeight="1" x14ac:dyDescent="0.3">
      <c r="A1089" s="23"/>
      <c r="B1089"/>
    </row>
    <row r="1090" spans="1:2" ht="16.5" customHeight="1" x14ac:dyDescent="0.3">
      <c r="A1090" s="23"/>
      <c r="B1090"/>
    </row>
    <row r="1091" spans="1:2" ht="16.5" customHeight="1" x14ac:dyDescent="0.3">
      <c r="A1091" s="23"/>
      <c r="B1091"/>
    </row>
    <row r="1092" spans="1:2" ht="16.5" customHeight="1" x14ac:dyDescent="0.3">
      <c r="A1092" s="23"/>
      <c r="B1092"/>
    </row>
    <row r="1093" spans="1:2" ht="16.5" customHeight="1" x14ac:dyDescent="0.3">
      <c r="A1093" s="23"/>
      <c r="B1093"/>
    </row>
    <row r="1094" spans="1:2" ht="16.5" customHeight="1" x14ac:dyDescent="0.3">
      <c r="A1094" s="23"/>
      <c r="B1094"/>
    </row>
    <row r="1095" spans="1:2" ht="16.5" customHeight="1" x14ac:dyDescent="0.3">
      <c r="A1095" s="23"/>
      <c r="B1095"/>
    </row>
    <row r="1096" spans="1:2" ht="16.5" customHeight="1" x14ac:dyDescent="0.3">
      <c r="A1096" s="23"/>
      <c r="B1096"/>
    </row>
    <row r="1097" spans="1:2" ht="16.5" customHeight="1" x14ac:dyDescent="0.3">
      <c r="A1097" s="23"/>
      <c r="B1097"/>
    </row>
    <row r="1098" spans="1:2" ht="16.5" customHeight="1" x14ac:dyDescent="0.3">
      <c r="A1098" s="23"/>
      <c r="B1098"/>
    </row>
    <row r="1099" spans="1:2" ht="16.5" customHeight="1" x14ac:dyDescent="0.3">
      <c r="A1099" s="23"/>
      <c r="B1099"/>
    </row>
    <row r="1100" spans="1:2" ht="16.5" customHeight="1" x14ac:dyDescent="0.3">
      <c r="A1100" s="23"/>
      <c r="B1100"/>
    </row>
    <row r="1101" spans="1:2" ht="16.5" customHeight="1" x14ac:dyDescent="0.3">
      <c r="A1101" s="23"/>
      <c r="B1101"/>
    </row>
    <row r="1102" spans="1:2" ht="16.5" customHeight="1" x14ac:dyDescent="0.3">
      <c r="A1102" s="23"/>
      <c r="B1102"/>
    </row>
    <row r="1103" spans="1:2" ht="16.5" customHeight="1" x14ac:dyDescent="0.3">
      <c r="A1103" s="23"/>
      <c r="B1103"/>
    </row>
    <row r="1104" spans="1:2" ht="16.5" customHeight="1" x14ac:dyDescent="0.3">
      <c r="A1104" s="23"/>
      <c r="B1104"/>
    </row>
    <row r="1105" spans="1:2" ht="16.5" customHeight="1" x14ac:dyDescent="0.3">
      <c r="A1105" s="23"/>
      <c r="B1105"/>
    </row>
    <row r="1106" spans="1:2" ht="16.5" customHeight="1" x14ac:dyDescent="0.3">
      <c r="A1106" s="23"/>
      <c r="B1106"/>
    </row>
    <row r="1107" spans="1:2" ht="16.5" customHeight="1" x14ac:dyDescent="0.3">
      <c r="A1107" s="23"/>
      <c r="B1107"/>
    </row>
    <row r="1108" spans="1:2" ht="16.5" customHeight="1" x14ac:dyDescent="0.3">
      <c r="A1108" s="23"/>
      <c r="B1108"/>
    </row>
    <row r="1109" spans="1:2" ht="16.5" customHeight="1" x14ac:dyDescent="0.3">
      <c r="A1109" s="23"/>
      <c r="B1109"/>
    </row>
    <row r="1110" spans="1:2" ht="16.5" customHeight="1" x14ac:dyDescent="0.3">
      <c r="A1110" s="23"/>
      <c r="B1110"/>
    </row>
    <row r="1111" spans="1:2" ht="16.5" customHeight="1" x14ac:dyDescent="0.3">
      <c r="A1111" s="23"/>
      <c r="B1111"/>
    </row>
    <row r="1112" spans="1:2" ht="16.5" customHeight="1" x14ac:dyDescent="0.3">
      <c r="A1112" s="23"/>
      <c r="B1112"/>
    </row>
    <row r="1113" spans="1:2" ht="16.5" customHeight="1" x14ac:dyDescent="0.3">
      <c r="A1113" s="23"/>
      <c r="B1113"/>
    </row>
    <row r="1114" spans="1:2" ht="16.5" customHeight="1" x14ac:dyDescent="0.3">
      <c r="A1114" s="23"/>
      <c r="B1114"/>
    </row>
    <row r="1115" spans="1:2" ht="16.5" customHeight="1" x14ac:dyDescent="0.3">
      <c r="A1115" s="23"/>
      <c r="B1115"/>
    </row>
    <row r="1116" spans="1:2" ht="16.5" customHeight="1" x14ac:dyDescent="0.3">
      <c r="A1116" s="23"/>
      <c r="B1116"/>
    </row>
    <row r="1117" spans="1:2" ht="16.5" customHeight="1" x14ac:dyDescent="0.3">
      <c r="A1117" s="23"/>
      <c r="B1117"/>
    </row>
    <row r="1118" spans="1:2" ht="16.5" customHeight="1" x14ac:dyDescent="0.3">
      <c r="A1118" s="23"/>
      <c r="B1118"/>
    </row>
    <row r="1119" spans="1:2" ht="16.5" customHeight="1" x14ac:dyDescent="0.3">
      <c r="A1119" s="23"/>
      <c r="B1119"/>
    </row>
    <row r="1120" spans="1:2" ht="16.5" customHeight="1" x14ac:dyDescent="0.3">
      <c r="A1120" s="23"/>
      <c r="B1120"/>
    </row>
    <row r="1121" spans="1:2" ht="16.5" customHeight="1" x14ac:dyDescent="0.3">
      <c r="A1121" s="23"/>
      <c r="B1121"/>
    </row>
    <row r="1122" spans="1:2" ht="16.5" customHeight="1" x14ac:dyDescent="0.3">
      <c r="A1122" s="23"/>
      <c r="B1122"/>
    </row>
    <row r="1123" spans="1:2" ht="16.5" customHeight="1" x14ac:dyDescent="0.3">
      <c r="A1123" s="23"/>
      <c r="B1123"/>
    </row>
    <row r="1124" spans="1:2" ht="16.5" customHeight="1" x14ac:dyDescent="0.3">
      <c r="A1124" s="23"/>
      <c r="B1124"/>
    </row>
    <row r="1125" spans="1:2" ht="16.5" customHeight="1" x14ac:dyDescent="0.3">
      <c r="A1125" s="23"/>
      <c r="B1125"/>
    </row>
    <row r="1126" spans="1:2" ht="16.5" customHeight="1" x14ac:dyDescent="0.3">
      <c r="A1126" s="23"/>
      <c r="B1126"/>
    </row>
    <row r="1127" spans="1:2" ht="16.5" customHeight="1" x14ac:dyDescent="0.3">
      <c r="A1127" s="23"/>
      <c r="B1127"/>
    </row>
    <row r="1128" spans="1:2" ht="16.5" customHeight="1" x14ac:dyDescent="0.3">
      <c r="A1128" s="23"/>
      <c r="B1128"/>
    </row>
    <row r="1129" spans="1:2" ht="16.5" customHeight="1" x14ac:dyDescent="0.3">
      <c r="A1129" s="23"/>
      <c r="B1129"/>
    </row>
    <row r="1130" spans="1:2" ht="16.5" customHeight="1" x14ac:dyDescent="0.3">
      <c r="A1130" s="23"/>
      <c r="B1130"/>
    </row>
    <row r="1131" spans="1:2" ht="16.5" customHeight="1" x14ac:dyDescent="0.3">
      <c r="A1131" s="23"/>
      <c r="B1131"/>
    </row>
    <row r="1132" spans="1:2" ht="16.5" customHeight="1" x14ac:dyDescent="0.3">
      <c r="A1132" s="23"/>
      <c r="B1132"/>
    </row>
    <row r="1133" spans="1:2" ht="16.5" customHeight="1" x14ac:dyDescent="0.3">
      <c r="A1133" s="23"/>
      <c r="B1133"/>
    </row>
    <row r="1134" spans="1:2" ht="16.5" customHeight="1" x14ac:dyDescent="0.3">
      <c r="A1134" s="23"/>
      <c r="B1134"/>
    </row>
    <row r="1135" spans="1:2" ht="16.5" customHeight="1" x14ac:dyDescent="0.3">
      <c r="A1135" s="23"/>
      <c r="B1135"/>
    </row>
    <row r="1136" spans="1:2" ht="16.5" customHeight="1" x14ac:dyDescent="0.3">
      <c r="A1136" s="23"/>
      <c r="B1136"/>
    </row>
    <row r="1137" spans="1:2" ht="16.5" customHeight="1" x14ac:dyDescent="0.3">
      <c r="A1137" s="23"/>
      <c r="B1137"/>
    </row>
    <row r="1138" spans="1:2" ht="16.5" customHeight="1" x14ac:dyDescent="0.3">
      <c r="A1138" s="23"/>
      <c r="B1138"/>
    </row>
    <row r="1139" spans="1:2" ht="16.5" customHeight="1" x14ac:dyDescent="0.3">
      <c r="A1139" s="23"/>
      <c r="B1139"/>
    </row>
    <row r="1140" spans="1:2" ht="16.5" customHeight="1" x14ac:dyDescent="0.3">
      <c r="A1140" s="23"/>
      <c r="B1140"/>
    </row>
    <row r="1141" spans="1:2" ht="16.5" customHeight="1" x14ac:dyDescent="0.3">
      <c r="A1141" s="23"/>
      <c r="B1141"/>
    </row>
    <row r="1142" spans="1:2" ht="16.5" customHeight="1" x14ac:dyDescent="0.3">
      <c r="A1142" s="23"/>
      <c r="B1142"/>
    </row>
    <row r="1143" spans="1:2" ht="16.5" customHeight="1" x14ac:dyDescent="0.3">
      <c r="A1143" s="23"/>
      <c r="B1143"/>
    </row>
    <row r="1144" spans="1:2" ht="16.5" customHeight="1" x14ac:dyDescent="0.3">
      <c r="A1144" s="23"/>
      <c r="B1144"/>
    </row>
    <row r="1145" spans="1:2" ht="16.5" customHeight="1" x14ac:dyDescent="0.3">
      <c r="A1145" s="23"/>
      <c r="B1145"/>
    </row>
    <row r="1146" spans="1:2" ht="16.5" customHeight="1" x14ac:dyDescent="0.3">
      <c r="A1146" s="23"/>
      <c r="B1146"/>
    </row>
    <row r="1147" spans="1:2" ht="16.5" customHeight="1" x14ac:dyDescent="0.3">
      <c r="A1147" s="23"/>
      <c r="B1147"/>
    </row>
    <row r="1148" spans="1:2" ht="16.5" customHeight="1" x14ac:dyDescent="0.3">
      <c r="A1148" s="23"/>
      <c r="B1148"/>
    </row>
    <row r="1149" spans="1:2" ht="16.5" customHeight="1" x14ac:dyDescent="0.3">
      <c r="A1149" s="23"/>
      <c r="B1149"/>
    </row>
    <row r="1150" spans="1:2" ht="16.5" customHeight="1" x14ac:dyDescent="0.3">
      <c r="A1150" s="23"/>
      <c r="B1150"/>
    </row>
    <row r="1151" spans="1:2" ht="16.5" customHeight="1" x14ac:dyDescent="0.3">
      <c r="A1151" s="23"/>
      <c r="B1151"/>
    </row>
    <row r="1152" spans="1:2" ht="16.5" customHeight="1" x14ac:dyDescent="0.3">
      <c r="A1152" s="23"/>
      <c r="B1152"/>
    </row>
  </sheetData>
  <printOptions gridLines="1"/>
  <pageMargins left="0.7" right="0.7" top="0.75" bottom="0.75" header="0.3" footer="0.3"/>
  <pageSetup scale="1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15FC-D1AD-46BF-B171-35221EC6FEC1}">
  <dimension ref="A1:N33"/>
  <sheetViews>
    <sheetView topLeftCell="A15" workbookViewId="0">
      <selection activeCell="G24" sqref="G24"/>
    </sheetView>
  </sheetViews>
  <sheetFormatPr defaultRowHeight="12.5" x14ac:dyDescent="0.25"/>
  <cols>
    <col min="1" max="1" width="7.81640625" bestFit="1" customWidth="1"/>
    <col min="2" max="2" width="14.54296875" customWidth="1"/>
    <col min="3" max="3" width="10.26953125" style="12" bestFit="1" customWidth="1"/>
    <col min="4" max="4" width="11.7265625" style="12" bestFit="1" customWidth="1"/>
    <col min="5" max="5" width="14.453125" style="12" bestFit="1" customWidth="1"/>
    <col min="6" max="6" width="13.81640625" style="26" bestFit="1" customWidth="1"/>
    <col min="7" max="7" width="11.453125" style="12" customWidth="1"/>
    <col min="8" max="8" width="13.81640625" style="12" bestFit="1" customWidth="1"/>
    <col min="9" max="9" width="11.7265625" bestFit="1" customWidth="1"/>
    <col min="10" max="10" width="15.36328125" bestFit="1" customWidth="1"/>
    <col min="12" max="12" width="15.36328125" bestFit="1" customWidth="1"/>
    <col min="14" max="14" width="14.36328125" style="12" bestFit="1" customWidth="1"/>
  </cols>
  <sheetData>
    <row r="1" spans="1:14" s="1" customFormat="1" ht="13" x14ac:dyDescent="0.3">
      <c r="B1" s="1" t="s">
        <v>63</v>
      </c>
      <c r="C1" s="11"/>
      <c r="D1" s="11"/>
      <c r="E1" s="11"/>
      <c r="F1" s="27"/>
      <c r="G1" s="11"/>
      <c r="H1" s="11"/>
      <c r="N1" s="11"/>
    </row>
    <row r="2" spans="1:14" s="1" customFormat="1" ht="13" x14ac:dyDescent="0.3">
      <c r="A2" s="1" t="s">
        <v>69</v>
      </c>
      <c r="B2" s="1" t="s">
        <v>67</v>
      </c>
      <c r="C2" s="11" t="s">
        <v>65</v>
      </c>
      <c r="D2" s="11" t="s">
        <v>66</v>
      </c>
      <c r="E2" s="11" t="s">
        <v>137</v>
      </c>
      <c r="F2" s="27" t="s">
        <v>71</v>
      </c>
      <c r="G2" s="11" t="s">
        <v>139</v>
      </c>
      <c r="H2" s="11"/>
      <c r="I2" s="1" t="s">
        <v>73</v>
      </c>
      <c r="N2" s="11"/>
    </row>
    <row r="3" spans="1:14" x14ac:dyDescent="0.25">
      <c r="A3" s="23">
        <v>45810</v>
      </c>
      <c r="B3" t="s">
        <v>136</v>
      </c>
      <c r="C3" s="12">
        <v>849</v>
      </c>
      <c r="D3" s="12">
        <v>845</v>
      </c>
      <c r="E3" s="12">
        <v>4</v>
      </c>
      <c r="F3" s="26">
        <f>E3/C3</f>
        <v>4.7114252061248524E-3</v>
      </c>
      <c r="G3" s="12">
        <v>11600</v>
      </c>
      <c r="H3" s="12">
        <f>D3*G3</f>
        <v>9802000</v>
      </c>
      <c r="I3" t="s">
        <v>74</v>
      </c>
    </row>
    <row r="4" spans="1:14" x14ac:dyDescent="0.25">
      <c r="A4" s="23">
        <v>45810</v>
      </c>
      <c r="B4" t="s">
        <v>138</v>
      </c>
      <c r="C4" s="12">
        <v>3583</v>
      </c>
      <c r="D4" s="12">
        <v>3512</v>
      </c>
      <c r="E4" s="12">
        <f>C4-D4</f>
        <v>71</v>
      </c>
      <c r="F4" s="26">
        <f>E4/C4</f>
        <v>1.9815796818308681E-2</v>
      </c>
      <c r="G4" s="12">
        <v>11500</v>
      </c>
      <c r="H4" s="12">
        <f t="shared" ref="H4:H9" si="0">D4*G4</f>
        <v>40388000</v>
      </c>
      <c r="I4" t="s">
        <v>74</v>
      </c>
    </row>
    <row r="5" spans="1:14" x14ac:dyDescent="0.25">
      <c r="A5" s="23">
        <v>45810</v>
      </c>
      <c r="B5" t="s">
        <v>140</v>
      </c>
      <c r="C5" s="12">
        <v>2223</v>
      </c>
      <c r="D5" s="12">
        <v>2201</v>
      </c>
      <c r="E5" s="12">
        <f t="shared" ref="E5:E9" si="1">C5-D5</f>
        <v>22</v>
      </c>
      <c r="F5" s="26">
        <f t="shared" ref="F5:F9" si="2">E5/C5</f>
        <v>9.8965362123256857E-3</v>
      </c>
      <c r="G5" s="12">
        <v>11400</v>
      </c>
      <c r="H5" s="12">
        <f t="shared" si="0"/>
        <v>25091400</v>
      </c>
      <c r="I5" t="s">
        <v>74</v>
      </c>
    </row>
    <row r="6" spans="1:14" x14ac:dyDescent="0.25">
      <c r="A6" s="23">
        <v>45810</v>
      </c>
      <c r="B6" t="s">
        <v>141</v>
      </c>
      <c r="C6" s="12">
        <v>3117</v>
      </c>
      <c r="D6" s="12">
        <v>3086</v>
      </c>
      <c r="E6" s="12">
        <f t="shared" si="1"/>
        <v>31</v>
      </c>
      <c r="F6" s="26">
        <f t="shared" si="2"/>
        <v>9.9454603785691376E-3</v>
      </c>
      <c r="G6" s="12">
        <v>11600</v>
      </c>
      <c r="H6" s="12">
        <f t="shared" si="0"/>
        <v>35797600</v>
      </c>
      <c r="I6" t="s">
        <v>74</v>
      </c>
    </row>
    <row r="7" spans="1:14" x14ac:dyDescent="0.25">
      <c r="A7" s="23">
        <v>45810</v>
      </c>
      <c r="B7" t="s">
        <v>142</v>
      </c>
      <c r="C7" s="12">
        <v>3179</v>
      </c>
      <c r="D7" s="12">
        <v>3084</v>
      </c>
      <c r="E7" s="12">
        <f t="shared" si="1"/>
        <v>95</v>
      </c>
      <c r="F7" s="26">
        <f t="shared" si="2"/>
        <v>2.988361119849009E-2</v>
      </c>
      <c r="G7" s="12">
        <v>11500</v>
      </c>
      <c r="H7" s="12">
        <f t="shared" si="0"/>
        <v>35466000</v>
      </c>
      <c r="I7" t="s">
        <v>74</v>
      </c>
    </row>
    <row r="8" spans="1:14" x14ac:dyDescent="0.25">
      <c r="A8" s="23">
        <v>45810</v>
      </c>
      <c r="B8" t="s">
        <v>143</v>
      </c>
      <c r="C8" s="12">
        <v>4375</v>
      </c>
      <c r="D8" s="12">
        <v>4333</v>
      </c>
      <c r="E8" s="12">
        <f t="shared" si="1"/>
        <v>42</v>
      </c>
      <c r="F8" s="26">
        <f t="shared" si="2"/>
        <v>9.5999999999999992E-3</v>
      </c>
      <c r="G8" s="12">
        <v>11600</v>
      </c>
      <c r="H8" s="12">
        <f t="shared" si="0"/>
        <v>50262800</v>
      </c>
      <c r="I8" t="s">
        <v>74</v>
      </c>
      <c r="J8" s="12"/>
    </row>
    <row r="9" spans="1:14" ht="13" x14ac:dyDescent="0.3">
      <c r="A9" s="23">
        <v>45810</v>
      </c>
      <c r="B9" t="s">
        <v>144</v>
      </c>
      <c r="C9" s="12">
        <v>4099</v>
      </c>
      <c r="D9" s="11">
        <v>4009</v>
      </c>
      <c r="E9" s="11">
        <f t="shared" si="1"/>
        <v>90</v>
      </c>
      <c r="F9" s="26">
        <f t="shared" si="2"/>
        <v>2.1956574774335203E-2</v>
      </c>
      <c r="G9" s="12">
        <v>11550</v>
      </c>
      <c r="H9" s="12">
        <f t="shared" si="0"/>
        <v>46303950</v>
      </c>
      <c r="I9" t="s">
        <v>74</v>
      </c>
      <c r="J9" s="15"/>
    </row>
    <row r="10" spans="1:14" s="1" customFormat="1" ht="13" x14ac:dyDescent="0.3">
      <c r="A10" s="1" t="s">
        <v>145</v>
      </c>
      <c r="C10" s="11">
        <f>SUM(C3:C9)</f>
        <v>21425</v>
      </c>
      <c r="D10" s="11">
        <f>SUM(D3:D9)</f>
        <v>21070</v>
      </c>
      <c r="E10" s="11">
        <f>SUM(E3:E9)</f>
        <v>355</v>
      </c>
      <c r="F10" s="27"/>
      <c r="G10" s="11">
        <f>MEDIAN(G3:G9)</f>
        <v>11550</v>
      </c>
      <c r="H10" s="11">
        <f>SUM(H3:H9)</f>
        <v>243111750</v>
      </c>
      <c r="N10" s="11"/>
    </row>
    <row r="11" spans="1:14" ht="13" x14ac:dyDescent="0.3">
      <c r="D11" s="11"/>
      <c r="E11" s="11"/>
    </row>
    <row r="12" spans="1:14" ht="13" x14ac:dyDescent="0.3">
      <c r="D12" s="11"/>
      <c r="E12" s="11"/>
    </row>
    <row r="13" spans="1:14" s="1" customFormat="1" ht="13" x14ac:dyDescent="0.3">
      <c r="B13" s="1" t="s">
        <v>146</v>
      </c>
      <c r="C13" s="11"/>
      <c r="D13" s="11">
        <v>3216300</v>
      </c>
      <c r="E13" s="11"/>
      <c r="F13" s="27">
        <f>D13/H10</f>
        <v>1.3229718431955674E-2</v>
      </c>
      <c r="G13" s="11"/>
      <c r="H13" s="11"/>
      <c r="N13" s="11"/>
    </row>
    <row r="14" spans="1:14" ht="13" x14ac:dyDescent="0.3">
      <c r="D14" s="11"/>
      <c r="E14" s="11"/>
    </row>
    <row r="15" spans="1:14" s="1" customFormat="1" ht="13" x14ac:dyDescent="0.3">
      <c r="B15" s="1" t="s">
        <v>147</v>
      </c>
      <c r="C15" s="11"/>
      <c r="D15" s="11"/>
      <c r="E15" s="11"/>
      <c r="F15" s="11">
        <v>250776050</v>
      </c>
      <c r="G15" s="11"/>
      <c r="H15" s="11"/>
      <c r="L15" s="11"/>
      <c r="N15" s="11"/>
    </row>
    <row r="16" spans="1:14" ht="13" x14ac:dyDescent="0.3">
      <c r="N16" s="11"/>
    </row>
    <row r="17" spans="2:14" s="1" customFormat="1" ht="13" x14ac:dyDescent="0.3">
      <c r="B17" s="1" t="s">
        <v>148</v>
      </c>
      <c r="C17" s="11" t="s">
        <v>150</v>
      </c>
      <c r="D17" s="11" t="s">
        <v>166</v>
      </c>
      <c r="E17" s="11" t="s">
        <v>4</v>
      </c>
      <c r="F17" s="27"/>
      <c r="G17" s="11"/>
      <c r="H17" s="11"/>
      <c r="N17" s="11"/>
    </row>
    <row r="18" spans="2:14" x14ac:dyDescent="0.25">
      <c r="B18" s="32" t="s">
        <v>149</v>
      </c>
      <c r="C18" s="12">
        <v>3040</v>
      </c>
      <c r="D18" s="12">
        <v>13850</v>
      </c>
      <c r="E18" s="12">
        <f>D18*C18</f>
        <v>42104000</v>
      </c>
    </row>
    <row r="19" spans="2:14" x14ac:dyDescent="0.25">
      <c r="B19" s="32" t="s">
        <v>151</v>
      </c>
      <c r="C19" s="12">
        <v>11160</v>
      </c>
      <c r="D19" s="12">
        <v>13550</v>
      </c>
      <c r="E19" s="12">
        <f t="shared" ref="E19:E28" si="3">D19*C19</f>
        <v>151218000</v>
      </c>
    </row>
    <row r="20" spans="2:14" x14ac:dyDescent="0.25">
      <c r="B20" s="32" t="s">
        <v>152</v>
      </c>
      <c r="C20" s="12">
        <v>3260</v>
      </c>
      <c r="D20" s="12">
        <v>12500</v>
      </c>
      <c r="E20" s="12">
        <f t="shared" si="3"/>
        <v>40750000</v>
      </c>
      <c r="I20" s="12"/>
    </row>
    <row r="21" spans="2:14" x14ac:dyDescent="0.25">
      <c r="B21" s="32"/>
      <c r="F21" s="28"/>
    </row>
    <row r="22" spans="2:14" x14ac:dyDescent="0.25">
      <c r="B22" s="32" t="s">
        <v>153</v>
      </c>
      <c r="C22" s="12">
        <v>721</v>
      </c>
      <c r="D22" s="12">
        <v>12000</v>
      </c>
      <c r="E22" s="12">
        <f t="shared" si="3"/>
        <v>8652000</v>
      </c>
      <c r="J22" s="29"/>
    </row>
    <row r="23" spans="2:14" x14ac:dyDescent="0.25">
      <c r="B23" s="32" t="s">
        <v>154</v>
      </c>
      <c r="C23" s="12">
        <v>237</v>
      </c>
      <c r="D23" s="12">
        <v>600</v>
      </c>
      <c r="E23" s="12">
        <f t="shared" si="3"/>
        <v>142200</v>
      </c>
    </row>
    <row r="24" spans="2:14" x14ac:dyDescent="0.25">
      <c r="B24" s="32" t="s">
        <v>155</v>
      </c>
      <c r="C24" s="12">
        <v>347</v>
      </c>
      <c r="D24" s="12">
        <v>12000</v>
      </c>
      <c r="E24" s="12">
        <f t="shared" si="3"/>
        <v>4164000</v>
      </c>
    </row>
    <row r="25" spans="2:14" x14ac:dyDescent="0.25">
      <c r="B25" s="32" t="s">
        <v>156</v>
      </c>
      <c r="C25" s="12">
        <v>226</v>
      </c>
      <c r="D25" s="12">
        <v>11000</v>
      </c>
      <c r="E25" s="12">
        <f t="shared" si="3"/>
        <v>2486000</v>
      </c>
    </row>
    <row r="26" spans="2:14" x14ac:dyDescent="0.25">
      <c r="B26" s="32">
        <v>1199</v>
      </c>
      <c r="C26" s="12">
        <v>275</v>
      </c>
      <c r="D26" s="12">
        <v>10500</v>
      </c>
      <c r="E26" s="12">
        <f t="shared" si="3"/>
        <v>2887500</v>
      </c>
    </row>
    <row r="27" spans="2:14" x14ac:dyDescent="0.25">
      <c r="B27" s="32" t="s">
        <v>157</v>
      </c>
      <c r="C27" s="12">
        <v>613</v>
      </c>
      <c r="D27" s="12">
        <v>10000</v>
      </c>
      <c r="E27" s="12">
        <f t="shared" si="3"/>
        <v>6130000</v>
      </c>
    </row>
    <row r="28" spans="2:14" x14ac:dyDescent="0.25">
      <c r="B28" s="32" t="s">
        <v>158</v>
      </c>
      <c r="C28" s="12">
        <v>89</v>
      </c>
      <c r="D28" s="12">
        <v>10000</v>
      </c>
      <c r="E28" s="12">
        <f t="shared" si="3"/>
        <v>890000</v>
      </c>
    </row>
    <row r="29" spans="2:14" s="1" customFormat="1" ht="13" x14ac:dyDescent="0.3">
      <c r="B29" s="38" t="s">
        <v>145</v>
      </c>
      <c r="C29" s="11"/>
      <c r="D29" s="11"/>
      <c r="E29" s="11">
        <f>SUM(E18:E28)</f>
        <v>259423700</v>
      </c>
      <c r="F29" s="27"/>
      <c r="G29" s="11"/>
      <c r="H29" s="11"/>
      <c r="N29" s="11"/>
    </row>
    <row r="31" spans="2:14" s="1" customFormat="1" ht="13" x14ac:dyDescent="0.3">
      <c r="B31" s="1" t="s">
        <v>165</v>
      </c>
      <c r="C31" s="11"/>
      <c r="D31" s="11"/>
      <c r="E31" s="11">
        <v>252146100</v>
      </c>
      <c r="F31" s="27"/>
      <c r="G31" s="11"/>
      <c r="H31" s="11"/>
      <c r="N31" s="11"/>
    </row>
    <row r="33" spans="5:6" ht="13" x14ac:dyDescent="0.3">
      <c r="E33" s="11">
        <f>E29-E31</f>
        <v>7277600</v>
      </c>
      <c r="F33" s="26">
        <f>E33/E31</f>
        <v>2.8862631625077684E-2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F5B6-5992-4921-BBA8-F7F625C641F0}">
  <dimension ref="A1:N24"/>
  <sheetViews>
    <sheetView workbookViewId="0">
      <selection activeCell="D8" sqref="D8"/>
    </sheetView>
  </sheetViews>
  <sheetFormatPr defaultRowHeight="12.5" x14ac:dyDescent="0.25"/>
  <cols>
    <col min="1" max="1" width="8.81640625" bestFit="1" customWidth="1"/>
    <col min="2" max="2" width="14.54296875" customWidth="1"/>
    <col min="3" max="3" width="10.26953125" style="12" bestFit="1" customWidth="1"/>
    <col min="4" max="4" width="11.7265625" style="12" bestFit="1" customWidth="1"/>
    <col min="5" max="5" width="14.453125" style="12" bestFit="1" customWidth="1"/>
    <col min="6" max="6" width="13.81640625" style="26" bestFit="1" customWidth="1"/>
    <col min="7" max="7" width="11.453125" style="12" customWidth="1"/>
    <col min="8" max="8" width="13.81640625" style="12" bestFit="1" customWidth="1"/>
    <col min="9" max="9" width="14.36328125" bestFit="1" customWidth="1"/>
    <col min="10" max="10" width="15.36328125" bestFit="1" customWidth="1"/>
    <col min="12" max="12" width="15.36328125" bestFit="1" customWidth="1"/>
    <col min="14" max="14" width="14.36328125" style="12" bestFit="1" customWidth="1"/>
  </cols>
  <sheetData>
    <row r="1" spans="1:14" s="1" customFormat="1" ht="13" x14ac:dyDescent="0.3">
      <c r="B1" s="1" t="s">
        <v>63</v>
      </c>
      <c r="C1" s="11"/>
      <c r="D1" s="11"/>
      <c r="E1" s="11"/>
      <c r="F1" s="27"/>
      <c r="G1" s="11"/>
      <c r="H1" s="11"/>
      <c r="N1" s="11"/>
    </row>
    <row r="2" spans="1:14" s="1" customFormat="1" ht="13" x14ac:dyDescent="0.3">
      <c r="A2" s="1" t="s">
        <v>69</v>
      </c>
      <c r="B2" s="1" t="s">
        <v>67</v>
      </c>
      <c r="C2" s="11" t="s">
        <v>65</v>
      </c>
      <c r="D2" s="11" t="s">
        <v>66</v>
      </c>
      <c r="E2" s="11" t="s">
        <v>137</v>
      </c>
      <c r="F2" s="27" t="s">
        <v>71</v>
      </c>
      <c r="G2" s="11" t="s">
        <v>139</v>
      </c>
      <c r="H2" s="11"/>
      <c r="I2" s="1" t="s">
        <v>73</v>
      </c>
      <c r="N2" s="11"/>
    </row>
    <row r="3" spans="1:14" x14ac:dyDescent="0.25">
      <c r="A3" s="23">
        <v>45822</v>
      </c>
      <c r="B3" t="s">
        <v>142</v>
      </c>
      <c r="C3" s="12">
        <v>4262</v>
      </c>
      <c r="D3" s="12">
        <v>4134</v>
      </c>
      <c r="E3" s="12">
        <v>125</v>
      </c>
      <c r="F3" s="26">
        <f>E3/C3</f>
        <v>2.9328953542937589E-2</v>
      </c>
      <c r="G3" s="12">
        <v>11500</v>
      </c>
      <c r="H3" s="12">
        <v>46987600</v>
      </c>
      <c r="I3" t="s">
        <v>74</v>
      </c>
    </row>
    <row r="4" spans="1:14" x14ac:dyDescent="0.25">
      <c r="A4" s="23">
        <v>45822</v>
      </c>
      <c r="B4" t="s">
        <v>194</v>
      </c>
      <c r="C4" s="12">
        <v>4445</v>
      </c>
      <c r="D4" s="12">
        <v>4401</v>
      </c>
      <c r="E4" s="12">
        <f>C4-D4</f>
        <v>44</v>
      </c>
      <c r="F4" s="26">
        <f>E4/C4</f>
        <v>9.8987626546681671E-3</v>
      </c>
      <c r="G4" s="12">
        <v>11500</v>
      </c>
      <c r="H4" s="12">
        <f t="shared" ref="H4" si="0">D4*G4</f>
        <v>50611500</v>
      </c>
      <c r="I4" t="s">
        <v>74</v>
      </c>
    </row>
    <row r="5" spans="1:14" s="1" customFormat="1" ht="13" x14ac:dyDescent="0.3">
      <c r="A5" s="1" t="s">
        <v>145</v>
      </c>
      <c r="C5" s="11">
        <f>SUM(C3:C4)</f>
        <v>8707</v>
      </c>
      <c r="D5" s="11">
        <f>SUM(D3:D4)</f>
        <v>8535</v>
      </c>
      <c r="E5" s="11">
        <f>SUM(E3:E4)</f>
        <v>169</v>
      </c>
      <c r="F5" s="27"/>
      <c r="G5" s="11">
        <f>MEDIAN(G3:G4)</f>
        <v>11500</v>
      </c>
      <c r="H5" s="11">
        <f>SUM(H3:H4)</f>
        <v>97599100</v>
      </c>
      <c r="N5" s="11"/>
    </row>
    <row r="6" spans="1:14" ht="13" x14ac:dyDescent="0.3">
      <c r="D6" s="11"/>
      <c r="E6" s="11"/>
    </row>
    <row r="7" spans="1:14" ht="13" x14ac:dyDescent="0.3">
      <c r="D7" s="11"/>
      <c r="E7" s="11"/>
    </row>
    <row r="8" spans="1:14" s="1" customFormat="1" ht="13" x14ac:dyDescent="0.3">
      <c r="B8" s="1" t="s">
        <v>146</v>
      </c>
      <c r="C8" s="11"/>
      <c r="D8" s="11">
        <v>5366320</v>
      </c>
      <c r="E8" s="11"/>
      <c r="F8" s="27">
        <f>D8/H5</f>
        <v>5.4983293903324931E-2</v>
      </c>
      <c r="G8" s="11"/>
      <c r="H8" s="11"/>
      <c r="N8" s="11"/>
    </row>
    <row r="9" spans="1:14" ht="13" x14ac:dyDescent="0.3">
      <c r="D9" s="11"/>
      <c r="E9" s="11"/>
    </row>
    <row r="10" spans="1:14" s="1" customFormat="1" ht="13" x14ac:dyDescent="0.3">
      <c r="C10" s="11"/>
      <c r="D10" s="11"/>
      <c r="E10" s="11"/>
      <c r="F10" s="11"/>
      <c r="G10" s="11"/>
      <c r="H10" s="11"/>
      <c r="L10" s="11"/>
      <c r="N10" s="11"/>
    </row>
    <row r="11" spans="1:14" ht="13" x14ac:dyDescent="0.3">
      <c r="N11" s="11"/>
    </row>
    <row r="12" spans="1:14" s="1" customFormat="1" ht="13" x14ac:dyDescent="0.3">
      <c r="B12" s="1" t="s">
        <v>148</v>
      </c>
      <c r="C12" s="11" t="s">
        <v>150</v>
      </c>
      <c r="D12" s="11" t="s">
        <v>166</v>
      </c>
      <c r="E12" s="11" t="s">
        <v>4</v>
      </c>
      <c r="F12" s="27"/>
      <c r="G12" s="11"/>
      <c r="H12" s="11"/>
      <c r="N12" s="11"/>
    </row>
    <row r="13" spans="1:14" x14ac:dyDescent="0.25">
      <c r="B13" s="32" t="s">
        <v>151</v>
      </c>
      <c r="C13" s="12">
        <v>4860</v>
      </c>
      <c r="D13" s="12">
        <v>13250</v>
      </c>
      <c r="E13" s="12">
        <f>D13*C13</f>
        <v>64395000</v>
      </c>
    </row>
    <row r="14" spans="1:14" x14ac:dyDescent="0.25">
      <c r="B14" s="32" t="s">
        <v>149</v>
      </c>
      <c r="C14" s="12">
        <v>1460</v>
      </c>
      <c r="D14" s="12">
        <v>13550</v>
      </c>
      <c r="E14" s="12">
        <f>D14*C14</f>
        <v>19783000</v>
      </c>
    </row>
    <row r="15" spans="1:14" x14ac:dyDescent="0.25">
      <c r="B15" s="32" t="s">
        <v>152</v>
      </c>
      <c r="C15" s="12">
        <v>1160</v>
      </c>
      <c r="D15" s="12">
        <v>12300</v>
      </c>
      <c r="E15" s="12">
        <f t="shared" ref="E15:E18" si="1">D15*C15</f>
        <v>14268000</v>
      </c>
      <c r="I15" s="12"/>
    </row>
    <row r="16" spans="1:14" x14ac:dyDescent="0.25">
      <c r="B16" s="32"/>
      <c r="F16" s="28"/>
    </row>
    <row r="17" spans="1:14" x14ac:dyDescent="0.25">
      <c r="B17" s="32" t="s">
        <v>153</v>
      </c>
      <c r="C17" s="12">
        <v>434</v>
      </c>
      <c r="D17" s="12">
        <v>11000</v>
      </c>
      <c r="E17" s="12">
        <f t="shared" si="1"/>
        <v>4774000</v>
      </c>
      <c r="H17" s="12">
        <f>347-100</f>
        <v>247</v>
      </c>
      <c r="J17" s="29"/>
    </row>
    <row r="18" spans="1:14" x14ac:dyDescent="0.25">
      <c r="B18" s="32" t="s">
        <v>157</v>
      </c>
      <c r="C18" s="12">
        <f>229+81</f>
        <v>310</v>
      </c>
      <c r="D18" s="12">
        <v>10000</v>
      </c>
      <c r="E18" s="12">
        <f t="shared" si="1"/>
        <v>3100000</v>
      </c>
      <c r="H18" s="12">
        <v>13250</v>
      </c>
      <c r="I18" s="12">
        <f>H17*H18</f>
        <v>3272750</v>
      </c>
    </row>
    <row r="19" spans="1:14" x14ac:dyDescent="0.25">
      <c r="B19" s="32" t="s">
        <v>195</v>
      </c>
      <c r="C19" s="12">
        <v>100</v>
      </c>
      <c r="D19" s="12">
        <v>13250</v>
      </c>
      <c r="E19" s="12">
        <f>D19*C19</f>
        <v>1325000</v>
      </c>
    </row>
    <row r="20" spans="1:14" s="1" customFormat="1" ht="13" x14ac:dyDescent="0.3">
      <c r="B20" s="38" t="s">
        <v>145</v>
      </c>
      <c r="C20" s="11"/>
      <c r="D20" s="11"/>
      <c r="E20" s="11">
        <f>SUM(E13:E19)</f>
        <v>107645000</v>
      </c>
      <c r="F20" s="27"/>
      <c r="G20" s="11"/>
      <c r="H20" s="11"/>
      <c r="N20" s="11"/>
    </row>
    <row r="22" spans="1:14" s="1" customFormat="1" ht="13" x14ac:dyDescent="0.3">
      <c r="B22" s="1" t="s">
        <v>165</v>
      </c>
      <c r="C22" s="11"/>
      <c r="D22" s="11"/>
      <c r="E22" s="11">
        <f>H5+D8</f>
        <v>102965420</v>
      </c>
      <c r="F22" s="27"/>
      <c r="G22" s="11"/>
      <c r="H22" s="11"/>
      <c r="N22" s="11"/>
    </row>
    <row r="24" spans="1:14" s="12" customFormat="1" ht="13" x14ac:dyDescent="0.3">
      <c r="A24"/>
      <c r="B24"/>
      <c r="E24" s="11">
        <f>E20-E22</f>
        <v>4679580</v>
      </c>
      <c r="F24" s="26">
        <f>E24/E22</f>
        <v>4.5448073731938356E-2</v>
      </c>
      <c r="I24"/>
      <c r="J24"/>
      <c r="K24"/>
      <c r="L24"/>
      <c r="M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0D62-2D64-45A7-B104-95B116AC2714}">
  <sheetPr>
    <pageSetUpPr fitToPage="1"/>
  </sheetPr>
  <dimension ref="A1:H1152"/>
  <sheetViews>
    <sheetView topLeftCell="A11" zoomScale="90" zoomScaleNormal="90" workbookViewId="0">
      <selection activeCell="H27" sqref="H27"/>
    </sheetView>
  </sheetViews>
  <sheetFormatPr defaultColWidth="9.1796875" defaultRowHeight="13" x14ac:dyDescent="0.3"/>
  <cols>
    <col min="1" max="1" width="10.81640625" style="9" customWidth="1"/>
    <col min="2" max="2" width="9.54296875" style="10" bestFit="1" customWidth="1"/>
    <col min="3" max="3" width="59.54296875" bestFit="1" customWidth="1"/>
    <col min="4" max="4" width="15.54296875" style="11" bestFit="1" customWidth="1"/>
    <col min="5" max="5" width="14.54296875" style="12" bestFit="1" customWidth="1"/>
    <col min="6" max="6" width="14.7265625" style="8" customWidth="1"/>
    <col min="7" max="7" width="12.81640625" customWidth="1"/>
    <col min="8" max="8" width="15" bestFit="1" customWidth="1"/>
    <col min="9" max="10" width="14.54296875" bestFit="1" customWidth="1"/>
  </cols>
  <sheetData>
    <row r="1" spans="1:8" s="1" customFormat="1" ht="17" x14ac:dyDescent="0.6">
      <c r="A1" s="3"/>
      <c r="B1" s="33"/>
      <c r="C1" s="34" t="s">
        <v>1</v>
      </c>
      <c r="D1" s="13" t="s">
        <v>6</v>
      </c>
      <c r="E1" s="35" t="s">
        <v>7</v>
      </c>
      <c r="F1" s="36"/>
    </row>
    <row r="2" spans="1:8" s="1" customFormat="1" ht="14" x14ac:dyDescent="0.3">
      <c r="A2" s="3" t="s">
        <v>0</v>
      </c>
      <c r="B2" s="5" t="s">
        <v>2</v>
      </c>
      <c r="C2" s="34" t="s">
        <v>3</v>
      </c>
      <c r="D2" s="2" t="s">
        <v>4</v>
      </c>
      <c r="E2" s="11" t="s">
        <v>4</v>
      </c>
      <c r="F2" s="37" t="s">
        <v>5</v>
      </c>
    </row>
    <row r="3" spans="1:8" x14ac:dyDescent="0.3">
      <c r="C3" t="s">
        <v>8</v>
      </c>
      <c r="F3" s="8">
        <v>0</v>
      </c>
    </row>
    <row r="4" spans="1:8" s="1" customFormat="1" x14ac:dyDescent="0.3">
      <c r="A4" s="25"/>
      <c r="C4" s="1" t="s">
        <v>90</v>
      </c>
      <c r="D4" s="11"/>
      <c r="E4" s="11"/>
      <c r="F4" s="19">
        <f>F3+D4-E4</f>
        <v>0</v>
      </c>
    </row>
    <row r="5" spans="1:8" ht="16.5" customHeight="1" x14ac:dyDescent="0.3">
      <c r="A5" s="23">
        <v>45806</v>
      </c>
      <c r="B5"/>
      <c r="C5" t="s">
        <v>175</v>
      </c>
      <c r="D5" s="11">
        <v>10000000</v>
      </c>
      <c r="F5" s="8">
        <f>F4+D5-E5</f>
        <v>10000000</v>
      </c>
    </row>
    <row r="6" spans="1:8" ht="16.5" customHeight="1" x14ac:dyDescent="0.3">
      <c r="A6" s="23">
        <v>45808</v>
      </c>
      <c r="B6"/>
      <c r="C6" t="s">
        <v>176</v>
      </c>
      <c r="F6" s="8">
        <f t="shared" ref="F6:F69" si="0">F5+D6-E6</f>
        <v>10000000</v>
      </c>
    </row>
    <row r="7" spans="1:8" ht="16.5" customHeight="1" x14ac:dyDescent="0.3">
      <c r="A7" s="23">
        <v>45819</v>
      </c>
      <c r="B7"/>
      <c r="C7" t="s">
        <v>175</v>
      </c>
      <c r="D7" s="11">
        <v>10000000</v>
      </c>
      <c r="F7" s="8">
        <f t="shared" si="0"/>
        <v>20000000</v>
      </c>
    </row>
    <row r="8" spans="1:8" ht="16.5" customHeight="1" x14ac:dyDescent="0.3">
      <c r="A8" s="23">
        <v>45819</v>
      </c>
      <c r="B8"/>
      <c r="C8" t="s">
        <v>175</v>
      </c>
      <c r="D8" s="11">
        <v>10000000</v>
      </c>
      <c r="F8" s="8">
        <f t="shared" si="0"/>
        <v>30000000</v>
      </c>
    </row>
    <row r="9" spans="1:8" ht="16.5" customHeight="1" x14ac:dyDescent="0.3">
      <c r="A9" s="23">
        <v>45819</v>
      </c>
      <c r="B9"/>
      <c r="C9" t="s">
        <v>177</v>
      </c>
      <c r="D9" s="11">
        <v>80000000</v>
      </c>
      <c r="F9" s="8">
        <f t="shared" si="0"/>
        <v>110000000</v>
      </c>
    </row>
    <row r="10" spans="1:8" ht="16.5" customHeight="1" x14ac:dyDescent="0.3">
      <c r="A10" s="23">
        <v>45819</v>
      </c>
      <c r="B10"/>
      <c r="C10" t="s">
        <v>178</v>
      </c>
      <c r="E10" s="12">
        <v>200000</v>
      </c>
      <c r="F10" s="8">
        <f t="shared" si="0"/>
        <v>109800000</v>
      </c>
    </row>
    <row r="11" spans="1:8" ht="16.5" customHeight="1" x14ac:dyDescent="0.3">
      <c r="A11" s="23">
        <v>45819</v>
      </c>
      <c r="B11"/>
      <c r="C11" t="s">
        <v>179</v>
      </c>
      <c r="E11" s="12">
        <f>50000+50000+50000+70000+80000</f>
        <v>300000</v>
      </c>
      <c r="F11" s="8">
        <f t="shared" si="0"/>
        <v>109500000</v>
      </c>
    </row>
    <row r="12" spans="1:8" ht="16.5" customHeight="1" x14ac:dyDescent="0.3">
      <c r="A12" s="23">
        <v>45819</v>
      </c>
      <c r="B12"/>
      <c r="C12" t="s">
        <v>180</v>
      </c>
      <c r="E12" s="12">
        <v>150000</v>
      </c>
      <c r="F12" s="8">
        <f t="shared" si="0"/>
        <v>109350000</v>
      </c>
    </row>
    <row r="13" spans="1:8" ht="16.5" customHeight="1" x14ac:dyDescent="0.3">
      <c r="A13" s="23">
        <v>45820</v>
      </c>
      <c r="B13"/>
      <c r="C13" t="s">
        <v>181</v>
      </c>
      <c r="E13" s="12">
        <v>18000</v>
      </c>
      <c r="F13" s="8">
        <f t="shared" si="0"/>
        <v>109332000</v>
      </c>
    </row>
    <row r="14" spans="1:8" ht="16.5" customHeight="1" x14ac:dyDescent="0.3">
      <c r="A14" s="23">
        <v>45820</v>
      </c>
      <c r="B14"/>
      <c r="C14" t="s">
        <v>182</v>
      </c>
      <c r="E14" s="12">
        <v>28000</v>
      </c>
      <c r="F14" s="8">
        <f t="shared" si="0"/>
        <v>109304000</v>
      </c>
    </row>
    <row r="15" spans="1:8" ht="16.5" customHeight="1" x14ac:dyDescent="0.3">
      <c r="A15" s="23">
        <v>45820</v>
      </c>
      <c r="B15"/>
      <c r="C15" t="s">
        <v>183</v>
      </c>
      <c r="E15" s="12">
        <v>200000</v>
      </c>
      <c r="F15" s="8">
        <f t="shared" si="0"/>
        <v>109104000</v>
      </c>
    </row>
    <row r="16" spans="1:8" ht="16.5" customHeight="1" x14ac:dyDescent="0.3">
      <c r="A16" s="23">
        <v>45820</v>
      </c>
      <c r="B16"/>
      <c r="C16" t="s">
        <v>184</v>
      </c>
      <c r="E16" s="12">
        <v>41000</v>
      </c>
      <c r="F16" s="8">
        <f t="shared" si="0"/>
        <v>109063000</v>
      </c>
      <c r="H16" s="15">
        <f>SUM(E10:E16)</f>
        <v>937000</v>
      </c>
    </row>
    <row r="17" spans="1:8" ht="16.5" customHeight="1" x14ac:dyDescent="0.3">
      <c r="A17" s="23">
        <v>45820</v>
      </c>
      <c r="B17"/>
      <c r="C17" t="s">
        <v>186</v>
      </c>
      <c r="E17" s="12">
        <v>46987600</v>
      </c>
      <c r="F17" s="8">
        <f t="shared" si="0"/>
        <v>62075400</v>
      </c>
      <c r="H17" s="15">
        <f>SUM(E20:E26)</f>
        <v>4429320</v>
      </c>
    </row>
    <row r="18" spans="1:8" ht="16.5" customHeight="1" x14ac:dyDescent="0.3">
      <c r="A18" s="23">
        <v>45820</v>
      </c>
      <c r="B18"/>
      <c r="C18" t="s">
        <v>185</v>
      </c>
      <c r="E18" s="12">
        <v>50611500</v>
      </c>
      <c r="F18" s="8">
        <f t="shared" si="0"/>
        <v>11463900</v>
      </c>
      <c r="H18" s="15">
        <f>H16+H17</f>
        <v>5366320</v>
      </c>
    </row>
    <row r="19" spans="1:8" ht="16.5" customHeight="1" x14ac:dyDescent="0.3">
      <c r="A19" s="23">
        <v>45820</v>
      </c>
      <c r="B19"/>
      <c r="C19" t="s">
        <v>187</v>
      </c>
      <c r="D19" s="11">
        <v>70000000</v>
      </c>
      <c r="F19" s="8">
        <f t="shared" si="0"/>
        <v>81463900</v>
      </c>
    </row>
    <row r="20" spans="1:8" ht="16.5" customHeight="1" x14ac:dyDescent="0.3">
      <c r="A20" s="23">
        <v>45820</v>
      </c>
      <c r="B20"/>
      <c r="C20" t="s">
        <v>188</v>
      </c>
      <c r="E20" s="12">
        <v>700000</v>
      </c>
      <c r="F20" s="8">
        <f t="shared" si="0"/>
        <v>80763900</v>
      </c>
    </row>
    <row r="21" spans="1:8" ht="16.5" customHeight="1" x14ac:dyDescent="0.3">
      <c r="A21" s="23">
        <v>45820</v>
      </c>
      <c r="B21"/>
      <c r="C21" t="s">
        <v>189</v>
      </c>
      <c r="E21" s="12">
        <v>135000</v>
      </c>
      <c r="F21" s="8">
        <f t="shared" si="0"/>
        <v>80628900</v>
      </c>
      <c r="H21" s="15">
        <f>SUM(D5:D19)</f>
        <v>180000000</v>
      </c>
    </row>
    <row r="22" spans="1:8" ht="16.5" customHeight="1" x14ac:dyDescent="0.3">
      <c r="A22" s="23">
        <v>45820</v>
      </c>
      <c r="B22"/>
      <c r="C22" t="s">
        <v>189</v>
      </c>
      <c r="E22" s="12">
        <v>135000</v>
      </c>
      <c r="F22" s="8">
        <f t="shared" si="0"/>
        <v>80493900</v>
      </c>
    </row>
    <row r="23" spans="1:8" ht="16.5" customHeight="1" x14ac:dyDescent="0.3">
      <c r="A23" s="23">
        <v>45820</v>
      </c>
      <c r="B23"/>
      <c r="C23" t="s">
        <v>190</v>
      </c>
      <c r="E23" s="12">
        <f>300000+400000+200000</f>
        <v>900000</v>
      </c>
      <c r="F23" s="8">
        <f t="shared" si="0"/>
        <v>79593900</v>
      </c>
    </row>
    <row r="24" spans="1:8" ht="16.5" customHeight="1" x14ac:dyDescent="0.3">
      <c r="A24" s="23">
        <v>45820</v>
      </c>
      <c r="B24"/>
      <c r="C24" t="s">
        <v>191</v>
      </c>
      <c r="E24" s="12">
        <v>250000</v>
      </c>
      <c r="F24" s="8">
        <f t="shared" si="0"/>
        <v>79343900</v>
      </c>
    </row>
    <row r="25" spans="1:8" ht="16.5" customHeight="1" x14ac:dyDescent="0.3">
      <c r="A25" s="23">
        <v>45820</v>
      </c>
      <c r="B25"/>
      <c r="C25" t="s">
        <v>192</v>
      </c>
      <c r="E25" s="12">
        <v>2171320</v>
      </c>
      <c r="F25" s="8">
        <f t="shared" si="0"/>
        <v>77172580</v>
      </c>
    </row>
    <row r="26" spans="1:8" ht="16.5" customHeight="1" x14ac:dyDescent="0.3">
      <c r="A26" s="23">
        <v>45820</v>
      </c>
      <c r="B26"/>
      <c r="C26" t="s">
        <v>193</v>
      </c>
      <c r="E26" s="12">
        <f>98000+40000</f>
        <v>138000</v>
      </c>
      <c r="F26" s="8">
        <f t="shared" si="0"/>
        <v>77034580</v>
      </c>
      <c r="H26" s="15">
        <f>SUM(E10:E26)</f>
        <v>102965420</v>
      </c>
    </row>
    <row r="27" spans="1:8" ht="16.5" customHeight="1" x14ac:dyDescent="0.3">
      <c r="A27" s="23">
        <v>45820</v>
      </c>
      <c r="B27"/>
      <c r="F27" s="8">
        <f t="shared" si="0"/>
        <v>77034580</v>
      </c>
      <c r="H27" s="15">
        <f>H21-H26</f>
        <v>77034580</v>
      </c>
    </row>
    <row r="28" spans="1:8" ht="16.5" customHeight="1" x14ac:dyDescent="0.3">
      <c r="A28" s="23">
        <v>45820</v>
      </c>
      <c r="B28"/>
      <c r="F28" s="8">
        <f t="shared" si="0"/>
        <v>77034580</v>
      </c>
    </row>
    <row r="29" spans="1:8" ht="16.5" customHeight="1" x14ac:dyDescent="0.3">
      <c r="A29" s="23">
        <v>45820</v>
      </c>
      <c r="B29"/>
      <c r="F29" s="8">
        <f t="shared" si="0"/>
        <v>77034580</v>
      </c>
    </row>
    <row r="30" spans="1:8" ht="16.5" customHeight="1" x14ac:dyDescent="0.3">
      <c r="A30" s="23">
        <v>45820</v>
      </c>
      <c r="B30"/>
      <c r="F30" s="8">
        <f t="shared" si="0"/>
        <v>77034580</v>
      </c>
    </row>
    <row r="31" spans="1:8" ht="16.5" customHeight="1" x14ac:dyDescent="0.3">
      <c r="A31" s="23">
        <v>45820</v>
      </c>
      <c r="B31"/>
      <c r="F31" s="8">
        <f t="shared" si="0"/>
        <v>77034580</v>
      </c>
    </row>
    <row r="32" spans="1:8" ht="16.5" customHeight="1" x14ac:dyDescent="0.3">
      <c r="A32" s="23">
        <v>45820</v>
      </c>
      <c r="B32"/>
      <c r="F32" s="8">
        <f t="shared" si="0"/>
        <v>77034580</v>
      </c>
    </row>
    <row r="33" spans="1:6" ht="16.5" customHeight="1" x14ac:dyDescent="0.3">
      <c r="A33" s="23">
        <v>45820</v>
      </c>
      <c r="B33"/>
      <c r="F33" s="8">
        <f t="shared" si="0"/>
        <v>77034580</v>
      </c>
    </row>
    <row r="34" spans="1:6" ht="16.5" customHeight="1" x14ac:dyDescent="0.3">
      <c r="A34" s="23">
        <v>45820</v>
      </c>
      <c r="B34"/>
      <c r="F34" s="8">
        <f t="shared" si="0"/>
        <v>77034580</v>
      </c>
    </row>
    <row r="35" spans="1:6" ht="16.5" customHeight="1" x14ac:dyDescent="0.3">
      <c r="A35" s="23">
        <v>45820</v>
      </c>
      <c r="B35"/>
      <c r="F35" s="8">
        <f t="shared" si="0"/>
        <v>77034580</v>
      </c>
    </row>
    <row r="36" spans="1:6" ht="16.5" customHeight="1" x14ac:dyDescent="0.3">
      <c r="A36" s="23">
        <v>45820</v>
      </c>
      <c r="B36"/>
      <c r="F36" s="8">
        <f t="shared" si="0"/>
        <v>77034580</v>
      </c>
    </row>
    <row r="37" spans="1:6" ht="16.5" customHeight="1" x14ac:dyDescent="0.3">
      <c r="A37" s="23">
        <v>45820</v>
      </c>
      <c r="B37"/>
      <c r="F37" s="8">
        <f t="shared" si="0"/>
        <v>77034580</v>
      </c>
    </row>
    <row r="38" spans="1:6" ht="16.5" customHeight="1" x14ac:dyDescent="0.3">
      <c r="A38" s="23">
        <v>45820</v>
      </c>
      <c r="B38"/>
      <c r="F38" s="8">
        <f t="shared" si="0"/>
        <v>77034580</v>
      </c>
    </row>
    <row r="39" spans="1:6" ht="16.5" customHeight="1" x14ac:dyDescent="0.3">
      <c r="A39" s="23">
        <v>45820</v>
      </c>
      <c r="B39"/>
      <c r="F39" s="8">
        <f t="shared" si="0"/>
        <v>77034580</v>
      </c>
    </row>
    <row r="40" spans="1:6" ht="16.5" customHeight="1" x14ac:dyDescent="0.3">
      <c r="A40" s="23">
        <v>45820</v>
      </c>
      <c r="B40"/>
      <c r="F40" s="8">
        <f t="shared" si="0"/>
        <v>77034580</v>
      </c>
    </row>
    <row r="41" spans="1:6" ht="16.5" customHeight="1" x14ac:dyDescent="0.3">
      <c r="A41" s="23">
        <v>45820</v>
      </c>
      <c r="B41"/>
      <c r="F41" s="8">
        <f t="shared" si="0"/>
        <v>77034580</v>
      </c>
    </row>
    <row r="42" spans="1:6" ht="16.5" customHeight="1" x14ac:dyDescent="0.3">
      <c r="A42" s="23">
        <v>45820</v>
      </c>
      <c r="B42"/>
      <c r="F42" s="8">
        <f t="shared" si="0"/>
        <v>77034580</v>
      </c>
    </row>
    <row r="43" spans="1:6" ht="16.5" customHeight="1" x14ac:dyDescent="0.3">
      <c r="A43" s="23">
        <v>45820</v>
      </c>
      <c r="B43"/>
      <c r="F43" s="8">
        <f t="shared" si="0"/>
        <v>77034580</v>
      </c>
    </row>
    <row r="44" spans="1:6" ht="16.5" customHeight="1" x14ac:dyDescent="0.3">
      <c r="A44" s="23">
        <v>45820</v>
      </c>
      <c r="B44"/>
      <c r="F44" s="8">
        <f t="shared" si="0"/>
        <v>77034580</v>
      </c>
    </row>
    <row r="45" spans="1:6" ht="16.5" customHeight="1" x14ac:dyDescent="0.3">
      <c r="A45" s="23">
        <v>45820</v>
      </c>
      <c r="B45"/>
      <c r="D45" s="16"/>
      <c r="E45" s="17"/>
      <c r="F45" s="8">
        <f t="shared" si="0"/>
        <v>77034580</v>
      </c>
    </row>
    <row r="46" spans="1:6" ht="16.5" customHeight="1" x14ac:dyDescent="0.3">
      <c r="A46" s="23">
        <v>45820</v>
      </c>
      <c r="B46"/>
      <c r="F46" s="8">
        <f t="shared" si="0"/>
        <v>77034580</v>
      </c>
    </row>
    <row r="47" spans="1:6" ht="16.5" customHeight="1" x14ac:dyDescent="0.3">
      <c r="A47" s="23">
        <v>45820</v>
      </c>
      <c r="B47"/>
      <c r="D47" s="16"/>
      <c r="E47" s="17"/>
      <c r="F47" s="8">
        <f t="shared" si="0"/>
        <v>77034580</v>
      </c>
    </row>
    <row r="48" spans="1:6" ht="16.5" customHeight="1" x14ac:dyDescent="0.3">
      <c r="A48" s="23">
        <v>45820</v>
      </c>
      <c r="B48"/>
      <c r="F48" s="8">
        <f t="shared" si="0"/>
        <v>77034580</v>
      </c>
    </row>
    <row r="49" spans="1:8" ht="16.5" customHeight="1" x14ac:dyDescent="0.3">
      <c r="A49" s="23">
        <v>45820</v>
      </c>
      <c r="B49"/>
      <c r="F49" s="8">
        <f t="shared" si="0"/>
        <v>77034580</v>
      </c>
    </row>
    <row r="50" spans="1:8" ht="16.5" customHeight="1" x14ac:dyDescent="0.3">
      <c r="A50" s="23">
        <v>45820</v>
      </c>
      <c r="B50"/>
      <c r="F50" s="8">
        <f t="shared" si="0"/>
        <v>77034580</v>
      </c>
      <c r="H50" s="15"/>
    </row>
    <row r="51" spans="1:8" ht="16.5" customHeight="1" x14ac:dyDescent="0.3">
      <c r="A51" s="23">
        <v>45820</v>
      </c>
      <c r="B51"/>
      <c r="F51" s="8">
        <f t="shared" si="0"/>
        <v>77034580</v>
      </c>
      <c r="H51" s="15"/>
    </row>
    <row r="52" spans="1:8" ht="16.5" customHeight="1" x14ac:dyDescent="0.3">
      <c r="A52" s="23">
        <v>45820</v>
      </c>
      <c r="B52"/>
      <c r="F52" s="8">
        <f t="shared" si="0"/>
        <v>77034580</v>
      </c>
      <c r="H52" s="15"/>
    </row>
    <row r="53" spans="1:8" ht="16.5" customHeight="1" x14ac:dyDescent="0.3">
      <c r="A53" s="23">
        <v>45820</v>
      </c>
      <c r="B53"/>
      <c r="F53" s="8">
        <f t="shared" si="0"/>
        <v>77034580</v>
      </c>
      <c r="H53" s="15"/>
    </row>
    <row r="54" spans="1:8" ht="16.5" customHeight="1" x14ac:dyDescent="0.3">
      <c r="A54" s="23">
        <v>45820</v>
      </c>
      <c r="B54"/>
      <c r="F54" s="8">
        <f t="shared" si="0"/>
        <v>77034580</v>
      </c>
    </row>
    <row r="55" spans="1:8" ht="16.5" customHeight="1" x14ac:dyDescent="0.3">
      <c r="A55" s="23">
        <v>45820</v>
      </c>
      <c r="B55"/>
      <c r="F55" s="8">
        <f t="shared" si="0"/>
        <v>77034580</v>
      </c>
    </row>
    <row r="56" spans="1:8" ht="16.5" customHeight="1" x14ac:dyDescent="0.3">
      <c r="A56" s="23">
        <v>45820</v>
      </c>
      <c r="B56"/>
      <c r="F56" s="8">
        <f t="shared" si="0"/>
        <v>77034580</v>
      </c>
    </row>
    <row r="57" spans="1:8" ht="16.5" customHeight="1" x14ac:dyDescent="0.3">
      <c r="A57" s="23">
        <v>45820</v>
      </c>
      <c r="B57"/>
      <c r="F57" s="8">
        <f t="shared" si="0"/>
        <v>77034580</v>
      </c>
    </row>
    <row r="58" spans="1:8" ht="16.5" customHeight="1" x14ac:dyDescent="0.3">
      <c r="A58" s="23">
        <v>45820</v>
      </c>
      <c r="B58"/>
      <c r="F58" s="8">
        <f t="shared" si="0"/>
        <v>77034580</v>
      </c>
    </row>
    <row r="59" spans="1:8" ht="16.5" customHeight="1" x14ac:dyDescent="0.3">
      <c r="A59" s="23">
        <v>45820</v>
      </c>
      <c r="B59"/>
      <c r="F59" s="8">
        <f t="shared" si="0"/>
        <v>77034580</v>
      </c>
    </row>
    <row r="60" spans="1:8" ht="16.5" customHeight="1" x14ac:dyDescent="0.3">
      <c r="A60" s="23">
        <v>45820</v>
      </c>
      <c r="B60"/>
      <c r="F60" s="8">
        <f t="shared" si="0"/>
        <v>77034580</v>
      </c>
    </row>
    <row r="61" spans="1:8" ht="16.5" customHeight="1" x14ac:dyDescent="0.3">
      <c r="A61" s="23">
        <v>45820</v>
      </c>
      <c r="B61"/>
      <c r="F61" s="8">
        <f t="shared" si="0"/>
        <v>77034580</v>
      </c>
    </row>
    <row r="62" spans="1:8" ht="16.5" customHeight="1" x14ac:dyDescent="0.3">
      <c r="A62" s="23">
        <v>45820</v>
      </c>
      <c r="B62"/>
      <c r="F62" s="8">
        <f t="shared" si="0"/>
        <v>77034580</v>
      </c>
    </row>
    <row r="63" spans="1:8" s="1" customFormat="1" ht="16.5" customHeight="1" x14ac:dyDescent="0.3">
      <c r="A63" s="23">
        <v>45820</v>
      </c>
      <c r="C63"/>
      <c r="D63" s="11"/>
      <c r="E63" s="24"/>
      <c r="F63" s="18">
        <f t="shared" si="0"/>
        <v>77034580</v>
      </c>
    </row>
    <row r="64" spans="1:8" s="1" customFormat="1" ht="16.5" customHeight="1" x14ac:dyDescent="0.3">
      <c r="A64" s="23">
        <v>45820</v>
      </c>
      <c r="C64"/>
      <c r="D64" s="11"/>
      <c r="E64" s="24"/>
      <c r="F64" s="18">
        <f t="shared" si="0"/>
        <v>77034580</v>
      </c>
    </row>
    <row r="65" spans="1:7" ht="16.5" customHeight="1" x14ac:dyDescent="0.3">
      <c r="A65" s="23">
        <v>45820</v>
      </c>
      <c r="B65"/>
      <c r="F65" s="18">
        <f t="shared" si="0"/>
        <v>77034580</v>
      </c>
    </row>
    <row r="66" spans="1:7" ht="16.5" customHeight="1" x14ac:dyDescent="0.3">
      <c r="A66" s="23">
        <v>45820</v>
      </c>
      <c r="B66"/>
      <c r="F66" s="8">
        <f t="shared" si="0"/>
        <v>77034580</v>
      </c>
    </row>
    <row r="67" spans="1:7" ht="16.5" customHeight="1" x14ac:dyDescent="0.3">
      <c r="A67" s="23">
        <v>45820</v>
      </c>
      <c r="B67"/>
      <c r="F67" s="8">
        <f t="shared" si="0"/>
        <v>77034580</v>
      </c>
    </row>
    <row r="68" spans="1:7" ht="16.5" customHeight="1" x14ac:dyDescent="0.3">
      <c r="A68" s="23">
        <v>45820</v>
      </c>
      <c r="B68"/>
      <c r="F68" s="8">
        <f t="shared" si="0"/>
        <v>77034580</v>
      </c>
    </row>
    <row r="69" spans="1:7" ht="16.5" customHeight="1" x14ac:dyDescent="0.3">
      <c r="A69" s="23">
        <v>45820</v>
      </c>
      <c r="B69"/>
      <c r="F69" s="8">
        <f t="shared" si="0"/>
        <v>77034580</v>
      </c>
    </row>
    <row r="70" spans="1:7" ht="16.5" customHeight="1" x14ac:dyDescent="0.3">
      <c r="A70" s="23">
        <v>45820</v>
      </c>
      <c r="B70"/>
      <c r="F70" s="8">
        <f t="shared" ref="F70:F132" si="1">F69+D70-E70</f>
        <v>77034580</v>
      </c>
    </row>
    <row r="71" spans="1:7" ht="16.5" customHeight="1" x14ac:dyDescent="0.3">
      <c r="A71" s="23">
        <v>45820</v>
      </c>
      <c r="B71"/>
      <c r="F71" s="8">
        <f t="shared" si="1"/>
        <v>77034580</v>
      </c>
    </row>
    <row r="72" spans="1:7" ht="16.5" customHeight="1" x14ac:dyDescent="0.3">
      <c r="A72" s="23">
        <v>45820</v>
      </c>
      <c r="B72"/>
      <c r="F72" s="8">
        <f t="shared" si="1"/>
        <v>77034580</v>
      </c>
    </row>
    <row r="73" spans="1:7" ht="16.5" customHeight="1" x14ac:dyDescent="0.3">
      <c r="A73" s="23">
        <v>45820</v>
      </c>
      <c r="B73"/>
      <c r="F73" s="8">
        <f t="shared" si="1"/>
        <v>77034580</v>
      </c>
    </row>
    <row r="74" spans="1:7" ht="16.5" customHeight="1" x14ac:dyDescent="0.3">
      <c r="A74" s="23">
        <v>45820</v>
      </c>
      <c r="B74"/>
      <c r="F74" s="8">
        <f t="shared" si="1"/>
        <v>77034580</v>
      </c>
    </row>
    <row r="75" spans="1:7" ht="16.5" customHeight="1" x14ac:dyDescent="0.3">
      <c r="A75" s="23">
        <v>45820</v>
      </c>
      <c r="B75"/>
      <c r="F75" s="8">
        <f t="shared" si="1"/>
        <v>77034580</v>
      </c>
    </row>
    <row r="76" spans="1:7" ht="16.5" customHeight="1" x14ac:dyDescent="0.3">
      <c r="A76" s="23">
        <v>45820</v>
      </c>
      <c r="B76"/>
      <c r="F76" s="8">
        <f t="shared" si="1"/>
        <v>77034580</v>
      </c>
    </row>
    <row r="77" spans="1:7" ht="16.5" customHeight="1" x14ac:dyDescent="0.3">
      <c r="A77" s="23">
        <v>45820</v>
      </c>
      <c r="B77"/>
      <c r="F77" s="8">
        <f t="shared" si="1"/>
        <v>77034580</v>
      </c>
    </row>
    <row r="78" spans="1:7" ht="16.5" customHeight="1" x14ac:dyDescent="0.3">
      <c r="A78" s="23">
        <v>45820</v>
      </c>
      <c r="B78"/>
      <c r="F78" s="8">
        <f t="shared" si="1"/>
        <v>77034580</v>
      </c>
      <c r="G78" s="15"/>
    </row>
    <row r="79" spans="1:7" ht="16.5" customHeight="1" x14ac:dyDescent="0.3">
      <c r="A79" s="23">
        <v>45820</v>
      </c>
      <c r="B79"/>
      <c r="F79" s="8">
        <f t="shared" si="1"/>
        <v>77034580</v>
      </c>
    </row>
    <row r="80" spans="1:7" ht="16.5" customHeight="1" x14ac:dyDescent="0.3">
      <c r="A80" s="23">
        <v>45820</v>
      </c>
      <c r="B80"/>
      <c r="F80" s="8">
        <f t="shared" si="1"/>
        <v>77034580</v>
      </c>
    </row>
    <row r="81" spans="1:6" ht="16.5" customHeight="1" x14ac:dyDescent="0.3">
      <c r="A81" s="23">
        <v>45820</v>
      </c>
      <c r="B81"/>
      <c r="F81" s="8">
        <f t="shared" si="1"/>
        <v>77034580</v>
      </c>
    </row>
    <row r="82" spans="1:6" ht="16.5" customHeight="1" x14ac:dyDescent="0.3">
      <c r="A82" s="23">
        <v>45820</v>
      </c>
      <c r="B82"/>
      <c r="F82" s="8">
        <f t="shared" si="1"/>
        <v>77034580</v>
      </c>
    </row>
    <row r="83" spans="1:6" ht="16.5" customHeight="1" x14ac:dyDescent="0.3">
      <c r="A83" s="23">
        <v>45820</v>
      </c>
      <c r="B83"/>
      <c r="F83" s="8">
        <f t="shared" si="1"/>
        <v>77034580</v>
      </c>
    </row>
    <row r="84" spans="1:6" ht="16.5" customHeight="1" x14ac:dyDescent="0.3">
      <c r="A84" s="23">
        <v>45820</v>
      </c>
      <c r="B84"/>
      <c r="D84" s="16"/>
      <c r="E84" s="17"/>
      <c r="F84" s="8">
        <f t="shared" si="1"/>
        <v>77034580</v>
      </c>
    </row>
    <row r="85" spans="1:6" ht="16.5" customHeight="1" x14ac:dyDescent="0.3">
      <c r="A85" s="23">
        <v>45820</v>
      </c>
      <c r="B85"/>
      <c r="D85" s="16"/>
      <c r="E85" s="17"/>
      <c r="F85" s="8">
        <f t="shared" si="1"/>
        <v>77034580</v>
      </c>
    </row>
    <row r="86" spans="1:6" ht="16.5" customHeight="1" x14ac:dyDescent="0.3">
      <c r="A86" s="23">
        <v>45820</v>
      </c>
      <c r="B86"/>
      <c r="F86" s="8">
        <f t="shared" si="1"/>
        <v>77034580</v>
      </c>
    </row>
    <row r="87" spans="1:6" ht="16.5" customHeight="1" x14ac:dyDescent="0.3">
      <c r="A87" s="23">
        <v>45820</v>
      </c>
      <c r="B87"/>
      <c r="F87" s="8">
        <f t="shared" si="1"/>
        <v>77034580</v>
      </c>
    </row>
    <row r="88" spans="1:6" ht="16.5" customHeight="1" x14ac:dyDescent="0.3">
      <c r="A88" s="23">
        <v>45820</v>
      </c>
      <c r="B88"/>
      <c r="C88" s="15"/>
      <c r="F88" s="8">
        <f t="shared" si="1"/>
        <v>77034580</v>
      </c>
    </row>
    <row r="89" spans="1:6" ht="16.5" customHeight="1" x14ac:dyDescent="0.3">
      <c r="A89" s="23">
        <v>45820</v>
      </c>
      <c r="B89"/>
      <c r="F89" s="8">
        <f t="shared" si="1"/>
        <v>77034580</v>
      </c>
    </row>
    <row r="90" spans="1:6" ht="16.5" customHeight="1" x14ac:dyDescent="0.3">
      <c r="A90" s="23">
        <v>45820</v>
      </c>
      <c r="B90"/>
      <c r="D90" s="31"/>
      <c r="F90" s="8">
        <f t="shared" si="1"/>
        <v>77034580</v>
      </c>
    </row>
    <row r="91" spans="1:6" ht="16.5" customHeight="1" x14ac:dyDescent="0.3">
      <c r="A91" s="23">
        <v>45820</v>
      </c>
      <c r="B91"/>
      <c r="F91" s="8">
        <f t="shared" si="1"/>
        <v>77034580</v>
      </c>
    </row>
    <row r="92" spans="1:6" ht="16.5" customHeight="1" x14ac:dyDescent="0.3">
      <c r="A92" s="23">
        <v>45820</v>
      </c>
      <c r="B92"/>
      <c r="D92" s="30"/>
      <c r="F92" s="8">
        <f t="shared" si="1"/>
        <v>77034580</v>
      </c>
    </row>
    <row r="93" spans="1:6" ht="16.5" customHeight="1" x14ac:dyDescent="0.3">
      <c r="A93" s="23">
        <v>45820</v>
      </c>
      <c r="B93"/>
      <c r="F93" s="8">
        <f t="shared" si="1"/>
        <v>77034580</v>
      </c>
    </row>
    <row r="94" spans="1:6" ht="16.5" customHeight="1" x14ac:dyDescent="0.3">
      <c r="A94" s="23">
        <v>45820</v>
      </c>
      <c r="B94"/>
      <c r="F94" s="8">
        <f t="shared" si="1"/>
        <v>77034580</v>
      </c>
    </row>
    <row r="95" spans="1:6" ht="16.5" customHeight="1" x14ac:dyDescent="0.3">
      <c r="A95" s="23">
        <v>45820</v>
      </c>
      <c r="B95"/>
      <c r="F95" s="8">
        <f t="shared" si="1"/>
        <v>77034580</v>
      </c>
    </row>
    <row r="96" spans="1:6" ht="16.5" customHeight="1" x14ac:dyDescent="0.3">
      <c r="A96" s="23">
        <v>45820</v>
      </c>
      <c r="B96"/>
      <c r="F96" s="8">
        <f t="shared" si="1"/>
        <v>77034580</v>
      </c>
    </row>
    <row r="97" spans="1:6" ht="16.5" customHeight="1" x14ac:dyDescent="0.3">
      <c r="A97" s="23">
        <v>45820</v>
      </c>
      <c r="B97"/>
      <c r="F97" s="8">
        <f t="shared" si="1"/>
        <v>77034580</v>
      </c>
    </row>
    <row r="98" spans="1:6" ht="16.5" customHeight="1" x14ac:dyDescent="0.3">
      <c r="A98" s="23">
        <v>45820</v>
      </c>
      <c r="B98"/>
      <c r="F98" s="8">
        <f t="shared" si="1"/>
        <v>77034580</v>
      </c>
    </row>
    <row r="99" spans="1:6" ht="16.5" customHeight="1" x14ac:dyDescent="0.3">
      <c r="A99" s="23">
        <v>45820</v>
      </c>
      <c r="B99"/>
      <c r="F99" s="8">
        <f t="shared" si="1"/>
        <v>77034580</v>
      </c>
    </row>
    <row r="100" spans="1:6" ht="16.5" customHeight="1" x14ac:dyDescent="0.3">
      <c r="A100" s="23">
        <v>45820</v>
      </c>
      <c r="B100"/>
      <c r="F100" s="8">
        <f t="shared" si="1"/>
        <v>77034580</v>
      </c>
    </row>
    <row r="101" spans="1:6" ht="16.5" customHeight="1" x14ac:dyDescent="0.3">
      <c r="A101" s="23">
        <v>45820</v>
      </c>
      <c r="B101"/>
      <c r="F101" s="8">
        <f t="shared" si="1"/>
        <v>77034580</v>
      </c>
    </row>
    <row r="102" spans="1:6" ht="16.5" customHeight="1" x14ac:dyDescent="0.3">
      <c r="A102" s="23">
        <v>45820</v>
      </c>
      <c r="B102"/>
      <c r="F102" s="8">
        <f t="shared" si="1"/>
        <v>77034580</v>
      </c>
    </row>
    <row r="103" spans="1:6" ht="16.5" customHeight="1" x14ac:dyDescent="0.3">
      <c r="A103" s="23">
        <v>45820</v>
      </c>
      <c r="B103"/>
      <c r="F103" s="8">
        <f t="shared" si="1"/>
        <v>77034580</v>
      </c>
    </row>
    <row r="104" spans="1:6" ht="16.5" customHeight="1" x14ac:dyDescent="0.3">
      <c r="A104" s="23">
        <v>45820</v>
      </c>
      <c r="B104"/>
      <c r="F104" s="8">
        <f t="shared" si="1"/>
        <v>77034580</v>
      </c>
    </row>
    <row r="105" spans="1:6" ht="16.5" customHeight="1" x14ac:dyDescent="0.3">
      <c r="A105" s="23">
        <v>45820</v>
      </c>
      <c r="B105"/>
      <c r="F105" s="8">
        <f t="shared" si="1"/>
        <v>77034580</v>
      </c>
    </row>
    <row r="106" spans="1:6" ht="16.5" customHeight="1" x14ac:dyDescent="0.3">
      <c r="A106" s="23">
        <v>45820</v>
      </c>
      <c r="B106"/>
      <c r="F106" s="8">
        <f t="shared" si="1"/>
        <v>77034580</v>
      </c>
    </row>
    <row r="107" spans="1:6" ht="16.5" customHeight="1" x14ac:dyDescent="0.3">
      <c r="A107" s="23">
        <v>45820</v>
      </c>
      <c r="B107"/>
      <c r="F107" s="8">
        <f t="shared" si="1"/>
        <v>77034580</v>
      </c>
    </row>
    <row r="108" spans="1:6" ht="16.5" customHeight="1" x14ac:dyDescent="0.3">
      <c r="A108" s="23">
        <v>45820</v>
      </c>
      <c r="B108"/>
      <c r="F108" s="8">
        <f t="shared" si="1"/>
        <v>77034580</v>
      </c>
    </row>
    <row r="109" spans="1:6" ht="16.5" customHeight="1" x14ac:dyDescent="0.3">
      <c r="A109" s="23">
        <v>45820</v>
      </c>
      <c r="B109"/>
      <c r="F109" s="8">
        <f t="shared" si="1"/>
        <v>77034580</v>
      </c>
    </row>
    <row r="110" spans="1:6" ht="16.5" customHeight="1" x14ac:dyDescent="0.3">
      <c r="A110" s="23">
        <v>45820</v>
      </c>
      <c r="B110"/>
      <c r="F110" s="8">
        <f t="shared" si="1"/>
        <v>77034580</v>
      </c>
    </row>
    <row r="111" spans="1:6" ht="16.5" customHeight="1" x14ac:dyDescent="0.3">
      <c r="A111" s="23">
        <v>45820</v>
      </c>
      <c r="B111"/>
      <c r="F111" s="8">
        <f t="shared" si="1"/>
        <v>77034580</v>
      </c>
    </row>
    <row r="112" spans="1:6" ht="16.5" customHeight="1" x14ac:dyDescent="0.3">
      <c r="A112" s="23">
        <v>45820</v>
      </c>
      <c r="B112"/>
      <c r="F112" s="8">
        <f t="shared" si="1"/>
        <v>77034580</v>
      </c>
    </row>
    <row r="113" spans="1:6" ht="16.5" customHeight="1" x14ac:dyDescent="0.3">
      <c r="A113" s="23">
        <v>45820</v>
      </c>
      <c r="B113"/>
      <c r="F113" s="8">
        <f t="shared" si="1"/>
        <v>77034580</v>
      </c>
    </row>
    <row r="114" spans="1:6" ht="16.5" customHeight="1" x14ac:dyDescent="0.3">
      <c r="A114" s="23">
        <v>45820</v>
      </c>
      <c r="B114"/>
      <c r="F114" s="8">
        <f t="shared" si="1"/>
        <v>77034580</v>
      </c>
    </row>
    <row r="115" spans="1:6" ht="16.5" customHeight="1" x14ac:dyDescent="0.3">
      <c r="A115" s="23">
        <v>45820</v>
      </c>
      <c r="B115"/>
      <c r="F115" s="8">
        <f t="shared" si="1"/>
        <v>77034580</v>
      </c>
    </row>
    <row r="116" spans="1:6" ht="16.5" customHeight="1" x14ac:dyDescent="0.3">
      <c r="A116" s="23">
        <v>45820</v>
      </c>
      <c r="B116"/>
      <c r="F116" s="8">
        <f t="shared" si="1"/>
        <v>77034580</v>
      </c>
    </row>
    <row r="117" spans="1:6" ht="16.5" customHeight="1" x14ac:dyDescent="0.3">
      <c r="A117" s="23">
        <v>45820</v>
      </c>
      <c r="B117"/>
      <c r="F117" s="8">
        <f t="shared" si="1"/>
        <v>77034580</v>
      </c>
    </row>
    <row r="118" spans="1:6" ht="16.5" customHeight="1" x14ac:dyDescent="0.3">
      <c r="A118" s="23">
        <v>45820</v>
      </c>
      <c r="B118"/>
      <c r="F118" s="8">
        <f t="shared" si="1"/>
        <v>77034580</v>
      </c>
    </row>
    <row r="119" spans="1:6" ht="16.5" customHeight="1" x14ac:dyDescent="0.3">
      <c r="A119" s="23">
        <v>45820</v>
      </c>
      <c r="B119"/>
      <c r="F119" s="8">
        <f t="shared" si="1"/>
        <v>77034580</v>
      </c>
    </row>
    <row r="120" spans="1:6" ht="16.5" customHeight="1" x14ac:dyDescent="0.3">
      <c r="A120" s="23">
        <v>45820</v>
      </c>
      <c r="B120"/>
      <c r="F120" s="8">
        <f t="shared" si="1"/>
        <v>77034580</v>
      </c>
    </row>
    <row r="121" spans="1:6" ht="16.5" customHeight="1" x14ac:dyDescent="0.3">
      <c r="A121" s="23">
        <v>45820</v>
      </c>
      <c r="B121"/>
      <c r="F121" s="8">
        <f t="shared" si="1"/>
        <v>77034580</v>
      </c>
    </row>
    <row r="122" spans="1:6" ht="16.5" customHeight="1" x14ac:dyDescent="0.3">
      <c r="A122" s="23">
        <v>45820</v>
      </c>
      <c r="B122"/>
      <c r="F122" s="8">
        <f t="shared" si="1"/>
        <v>77034580</v>
      </c>
    </row>
    <row r="123" spans="1:6" ht="16.5" customHeight="1" x14ac:dyDescent="0.3">
      <c r="A123" s="23">
        <v>45820</v>
      </c>
      <c r="B123"/>
      <c r="F123" s="8">
        <f t="shared" si="1"/>
        <v>77034580</v>
      </c>
    </row>
    <row r="124" spans="1:6" ht="16.5" customHeight="1" x14ac:dyDescent="0.3">
      <c r="A124" s="23">
        <v>45820</v>
      </c>
      <c r="B124"/>
      <c r="F124" s="8">
        <f t="shared" si="1"/>
        <v>77034580</v>
      </c>
    </row>
    <row r="125" spans="1:6" ht="16.5" customHeight="1" x14ac:dyDescent="0.3">
      <c r="A125" s="23">
        <v>45820</v>
      </c>
      <c r="B125"/>
      <c r="F125" s="8">
        <f t="shared" si="1"/>
        <v>77034580</v>
      </c>
    </row>
    <row r="126" spans="1:6" ht="16.5" customHeight="1" x14ac:dyDescent="0.3">
      <c r="A126" s="23">
        <v>45820</v>
      </c>
      <c r="B126"/>
      <c r="F126" s="8">
        <f t="shared" si="1"/>
        <v>77034580</v>
      </c>
    </row>
    <row r="127" spans="1:6" ht="16.5" customHeight="1" x14ac:dyDescent="0.3">
      <c r="A127" s="23">
        <v>45820</v>
      </c>
      <c r="B127"/>
      <c r="F127" s="8">
        <f t="shared" si="1"/>
        <v>77034580</v>
      </c>
    </row>
    <row r="128" spans="1:6" ht="16.5" customHeight="1" x14ac:dyDescent="0.3">
      <c r="A128" s="23">
        <v>45820</v>
      </c>
      <c r="B128"/>
      <c r="F128" s="8">
        <f t="shared" si="1"/>
        <v>77034580</v>
      </c>
    </row>
    <row r="129" spans="1:6" ht="16.5" customHeight="1" x14ac:dyDescent="0.3">
      <c r="A129" s="23">
        <v>45820</v>
      </c>
      <c r="B129"/>
      <c r="F129" s="8">
        <f t="shared" si="1"/>
        <v>77034580</v>
      </c>
    </row>
    <row r="130" spans="1:6" ht="16.5" customHeight="1" x14ac:dyDescent="0.3">
      <c r="A130" s="23">
        <v>45820</v>
      </c>
      <c r="B130"/>
      <c r="F130" s="8">
        <f t="shared" si="1"/>
        <v>77034580</v>
      </c>
    </row>
    <row r="131" spans="1:6" ht="16.5" customHeight="1" x14ac:dyDescent="0.3">
      <c r="A131" s="23">
        <v>45820</v>
      </c>
      <c r="B131"/>
      <c r="F131" s="8">
        <f t="shared" si="1"/>
        <v>77034580</v>
      </c>
    </row>
    <row r="132" spans="1:6" ht="16.5" customHeight="1" x14ac:dyDescent="0.3">
      <c r="A132" s="23"/>
      <c r="B132"/>
      <c r="F132" s="8">
        <f t="shared" si="1"/>
        <v>77034580</v>
      </c>
    </row>
    <row r="133" spans="1:6" ht="16.5" customHeight="1" x14ac:dyDescent="0.3">
      <c r="A133" s="23"/>
      <c r="B133"/>
      <c r="F133" s="18"/>
    </row>
    <row r="134" spans="1:6" ht="16.5" customHeight="1" x14ac:dyDescent="0.3">
      <c r="A134" s="23"/>
      <c r="B134"/>
      <c r="F134" s="18"/>
    </row>
    <row r="135" spans="1:6" ht="16.5" customHeight="1" x14ac:dyDescent="0.3">
      <c r="A135" s="23"/>
      <c r="B135"/>
      <c r="F135" s="18"/>
    </row>
    <row r="136" spans="1:6" ht="16.5" customHeight="1" x14ac:dyDescent="0.3">
      <c r="A136" s="23"/>
      <c r="B136"/>
      <c r="F136" s="18"/>
    </row>
    <row r="137" spans="1:6" ht="16.5" customHeight="1" x14ac:dyDescent="0.3">
      <c r="A137" s="23"/>
      <c r="B137"/>
      <c r="F137" s="18"/>
    </row>
    <row r="138" spans="1:6" ht="16.5" customHeight="1" x14ac:dyDescent="0.3">
      <c r="A138" s="23"/>
      <c r="B138"/>
      <c r="F138" s="18"/>
    </row>
    <row r="139" spans="1:6" ht="16.5" customHeight="1" x14ac:dyDescent="0.3">
      <c r="A139" s="23"/>
      <c r="B139"/>
      <c r="F139" s="18"/>
    </row>
    <row r="140" spans="1:6" ht="16.5" customHeight="1" x14ac:dyDescent="0.3">
      <c r="A140" s="23"/>
      <c r="B140"/>
      <c r="F140" s="18"/>
    </row>
    <row r="141" spans="1:6" ht="16.5" customHeight="1" x14ac:dyDescent="0.3">
      <c r="A141" s="23"/>
      <c r="B141"/>
      <c r="F141" s="18"/>
    </row>
    <row r="142" spans="1:6" ht="16.5" customHeight="1" x14ac:dyDescent="0.3">
      <c r="A142" s="23"/>
      <c r="B142"/>
      <c r="F142" s="18"/>
    </row>
    <row r="143" spans="1:6" ht="16.5" customHeight="1" x14ac:dyDescent="0.3">
      <c r="A143" s="23"/>
      <c r="B143"/>
      <c r="F143" s="18"/>
    </row>
    <row r="144" spans="1:6" ht="16.5" customHeight="1" x14ac:dyDescent="0.3">
      <c r="A144" s="23"/>
      <c r="B144"/>
      <c r="F144" s="18"/>
    </row>
    <row r="145" spans="1:6" ht="16.5" customHeight="1" x14ac:dyDescent="0.3">
      <c r="A145" s="23"/>
      <c r="B145"/>
      <c r="F145" s="18"/>
    </row>
    <row r="146" spans="1:6" ht="16.5" customHeight="1" x14ac:dyDescent="0.3">
      <c r="A146" s="23"/>
      <c r="B146"/>
      <c r="F146" s="18"/>
    </row>
    <row r="147" spans="1:6" ht="16.5" customHeight="1" x14ac:dyDescent="0.3">
      <c r="A147" s="23"/>
      <c r="B147"/>
      <c r="F147" s="18"/>
    </row>
    <row r="148" spans="1:6" ht="16.5" customHeight="1" x14ac:dyDescent="0.3">
      <c r="A148" s="23"/>
      <c r="B148"/>
      <c r="F148" s="18"/>
    </row>
    <row r="149" spans="1:6" ht="16.5" customHeight="1" x14ac:dyDescent="0.3">
      <c r="A149" s="23"/>
      <c r="B149"/>
      <c r="F149" s="18"/>
    </row>
    <row r="150" spans="1:6" ht="16.5" customHeight="1" x14ac:dyDescent="0.3">
      <c r="A150" s="23"/>
      <c r="B150"/>
      <c r="F150" s="18"/>
    </row>
    <row r="151" spans="1:6" ht="16.5" customHeight="1" x14ac:dyDescent="0.3">
      <c r="A151" s="23"/>
      <c r="B151"/>
      <c r="F151" s="18"/>
    </row>
    <row r="152" spans="1:6" ht="16.5" customHeight="1" x14ac:dyDescent="0.3">
      <c r="A152" s="23"/>
      <c r="B152"/>
      <c r="F152" s="18"/>
    </row>
    <row r="153" spans="1:6" ht="16.5" customHeight="1" x14ac:dyDescent="0.3">
      <c r="A153" s="23"/>
      <c r="B153"/>
      <c r="F153" s="18"/>
    </row>
    <row r="154" spans="1:6" ht="16.5" customHeight="1" x14ac:dyDescent="0.3">
      <c r="A154" s="23"/>
      <c r="B154"/>
      <c r="F154" s="18"/>
    </row>
    <row r="155" spans="1:6" ht="16.5" customHeight="1" x14ac:dyDescent="0.3">
      <c r="A155" s="23"/>
      <c r="B155"/>
      <c r="F155" s="18"/>
    </row>
    <row r="156" spans="1:6" ht="16.5" customHeight="1" x14ac:dyDescent="0.3">
      <c r="A156" s="23"/>
      <c r="B156"/>
      <c r="F156" s="18"/>
    </row>
    <row r="157" spans="1:6" ht="16.5" customHeight="1" x14ac:dyDescent="0.3">
      <c r="A157" s="23"/>
      <c r="B157"/>
      <c r="F157" s="18"/>
    </row>
    <row r="158" spans="1:6" ht="16.5" customHeight="1" x14ac:dyDescent="0.3">
      <c r="A158" s="23"/>
      <c r="B158"/>
      <c r="F158" s="18"/>
    </row>
    <row r="159" spans="1:6" ht="16.5" customHeight="1" x14ac:dyDescent="0.3">
      <c r="A159" s="23"/>
      <c r="B159"/>
      <c r="F159" s="18"/>
    </row>
    <row r="160" spans="1:6" ht="16.5" customHeight="1" x14ac:dyDescent="0.3">
      <c r="A160" s="23"/>
      <c r="B160"/>
      <c r="F160" s="18"/>
    </row>
    <row r="161" spans="1:6" ht="16.5" customHeight="1" x14ac:dyDescent="0.3">
      <c r="A161" s="23"/>
      <c r="B161"/>
      <c r="F161" s="19"/>
    </row>
    <row r="162" spans="1:6" ht="16.5" customHeight="1" x14ac:dyDescent="0.3">
      <c r="A162" s="23"/>
      <c r="B162"/>
      <c r="F162" s="18"/>
    </row>
    <row r="163" spans="1:6" ht="16.5" customHeight="1" x14ac:dyDescent="0.3">
      <c r="A163" s="23"/>
      <c r="B163"/>
      <c r="F163" s="18"/>
    </row>
    <row r="164" spans="1:6" ht="16.5" customHeight="1" x14ac:dyDescent="0.3">
      <c r="A164" s="23"/>
      <c r="B164"/>
      <c r="F164" s="18"/>
    </row>
    <row r="165" spans="1:6" ht="16.5" customHeight="1" x14ac:dyDescent="0.3">
      <c r="A165" s="23"/>
      <c r="B165"/>
      <c r="F165" s="18"/>
    </row>
    <row r="166" spans="1:6" ht="16.5" customHeight="1" x14ac:dyDescent="0.3">
      <c r="A166" s="23"/>
      <c r="B166"/>
      <c r="F166" s="18"/>
    </row>
    <row r="167" spans="1:6" ht="16.5" customHeight="1" x14ac:dyDescent="0.3">
      <c r="A167" s="23"/>
      <c r="B167"/>
      <c r="F167" s="18"/>
    </row>
    <row r="168" spans="1:6" ht="16.5" customHeight="1" x14ac:dyDescent="0.3">
      <c r="A168" s="23"/>
      <c r="B168"/>
      <c r="F168" s="18"/>
    </row>
    <row r="169" spans="1:6" ht="16.5" customHeight="1" x14ac:dyDescent="0.3">
      <c r="A169" s="23"/>
      <c r="B169"/>
      <c r="F169" s="18"/>
    </row>
    <row r="170" spans="1:6" ht="16.5" customHeight="1" x14ac:dyDescent="0.3">
      <c r="A170" s="23"/>
      <c r="B170"/>
      <c r="F170" s="18"/>
    </row>
    <row r="171" spans="1:6" ht="16.5" customHeight="1" x14ac:dyDescent="0.3">
      <c r="A171" s="23"/>
      <c r="B171"/>
      <c r="F171" s="18"/>
    </row>
    <row r="172" spans="1:6" ht="16.5" customHeight="1" x14ac:dyDescent="0.3">
      <c r="A172" s="23"/>
      <c r="B172"/>
      <c r="F172" s="18"/>
    </row>
    <row r="173" spans="1:6" ht="16.5" customHeight="1" x14ac:dyDescent="0.3">
      <c r="A173" s="23"/>
      <c r="B173"/>
      <c r="F173" s="18"/>
    </row>
    <row r="174" spans="1:6" ht="16.5" customHeight="1" x14ac:dyDescent="0.3">
      <c r="A174" s="23"/>
      <c r="B174"/>
      <c r="F174" s="18"/>
    </row>
    <row r="175" spans="1:6" ht="16.5" customHeight="1" x14ac:dyDescent="0.3">
      <c r="A175" s="23"/>
      <c r="B175"/>
      <c r="F175" s="18"/>
    </row>
    <row r="176" spans="1:6" ht="16.5" customHeight="1" x14ac:dyDescent="0.3">
      <c r="A176" s="23"/>
      <c r="B176"/>
      <c r="F176" s="18"/>
    </row>
    <row r="177" spans="1:6" ht="16.5" customHeight="1" x14ac:dyDescent="0.3">
      <c r="A177" s="23"/>
      <c r="B177"/>
      <c r="F177" s="18"/>
    </row>
    <row r="178" spans="1:6" ht="16.5" customHeight="1" x14ac:dyDescent="0.3">
      <c r="A178" s="23"/>
      <c r="B178"/>
      <c r="F178" s="18"/>
    </row>
    <row r="179" spans="1:6" ht="16.5" customHeight="1" x14ac:dyDescent="0.3">
      <c r="A179" s="23"/>
      <c r="B179"/>
      <c r="F179" s="18"/>
    </row>
    <row r="180" spans="1:6" ht="16.5" customHeight="1" x14ac:dyDescent="0.3">
      <c r="A180" s="23"/>
      <c r="B180"/>
      <c r="F180" s="18"/>
    </row>
    <row r="181" spans="1:6" ht="16.5" customHeight="1" x14ac:dyDescent="0.3">
      <c r="A181" s="23"/>
      <c r="B181"/>
      <c r="F181" s="18"/>
    </row>
    <row r="182" spans="1:6" ht="16.5" customHeight="1" x14ac:dyDescent="0.3">
      <c r="A182" s="23"/>
      <c r="B182"/>
      <c r="F182" s="18"/>
    </row>
    <row r="183" spans="1:6" ht="16.5" customHeight="1" x14ac:dyDescent="0.3">
      <c r="A183" s="23"/>
      <c r="B183"/>
      <c r="F183" s="18"/>
    </row>
    <row r="184" spans="1:6" ht="16.5" customHeight="1" x14ac:dyDescent="0.3">
      <c r="A184" s="23"/>
      <c r="B184"/>
      <c r="F184" s="18"/>
    </row>
    <row r="185" spans="1:6" ht="16.5" customHeight="1" x14ac:dyDescent="0.3">
      <c r="A185" s="23"/>
      <c r="B185"/>
      <c r="F185" s="18"/>
    </row>
    <row r="186" spans="1:6" ht="16.5" customHeight="1" x14ac:dyDescent="0.3">
      <c r="A186" s="23"/>
      <c r="B186"/>
      <c r="F186" s="18"/>
    </row>
    <row r="187" spans="1:6" ht="16.5" customHeight="1" x14ac:dyDescent="0.3">
      <c r="A187" s="23"/>
      <c r="B187"/>
      <c r="F187" s="18"/>
    </row>
    <row r="188" spans="1:6" ht="16.5" customHeight="1" x14ac:dyDescent="0.3">
      <c r="A188" s="23"/>
      <c r="B188"/>
      <c r="F188" s="18"/>
    </row>
    <row r="189" spans="1:6" ht="16.5" customHeight="1" x14ac:dyDescent="0.3">
      <c r="A189" s="23"/>
      <c r="B189"/>
      <c r="F189" s="18"/>
    </row>
    <row r="190" spans="1:6" ht="16.5" customHeight="1" x14ac:dyDescent="0.3">
      <c r="A190" s="23"/>
      <c r="B190"/>
      <c r="F190" s="18"/>
    </row>
    <row r="191" spans="1:6" ht="16.5" customHeight="1" x14ac:dyDescent="0.3">
      <c r="A191" s="23"/>
      <c r="B191"/>
      <c r="F191" s="18"/>
    </row>
    <row r="192" spans="1:6" ht="16.5" customHeight="1" x14ac:dyDescent="0.3">
      <c r="A192" s="23"/>
      <c r="B192"/>
      <c r="F192" s="18"/>
    </row>
    <row r="193" spans="1:6" ht="16.5" customHeight="1" x14ac:dyDescent="0.3">
      <c r="A193" s="23"/>
      <c r="B193"/>
      <c r="F193" s="18"/>
    </row>
    <row r="194" spans="1:6" ht="16.5" customHeight="1" x14ac:dyDescent="0.3">
      <c r="A194" s="23"/>
      <c r="B194"/>
      <c r="F194" s="18"/>
    </row>
    <row r="195" spans="1:6" ht="16.5" customHeight="1" x14ac:dyDescent="0.3">
      <c r="A195" s="23"/>
      <c r="B195"/>
      <c r="F195" s="18"/>
    </row>
    <row r="196" spans="1:6" ht="16.5" customHeight="1" x14ac:dyDescent="0.3">
      <c r="A196" s="23"/>
      <c r="B196"/>
      <c r="F196" s="18"/>
    </row>
    <row r="197" spans="1:6" ht="16.5" customHeight="1" x14ac:dyDescent="0.3">
      <c r="A197" s="23"/>
      <c r="B197"/>
      <c r="F197" s="18"/>
    </row>
    <row r="198" spans="1:6" ht="16.5" customHeight="1" x14ac:dyDescent="0.3">
      <c r="A198" s="23"/>
      <c r="B198"/>
      <c r="F198" s="18"/>
    </row>
    <row r="199" spans="1:6" ht="16.5" customHeight="1" x14ac:dyDescent="0.3">
      <c r="A199" s="23"/>
      <c r="B199"/>
      <c r="F199" s="18"/>
    </row>
    <row r="200" spans="1:6" ht="16.5" customHeight="1" x14ac:dyDescent="0.3">
      <c r="A200" s="23"/>
      <c r="B200"/>
      <c r="F200" s="18"/>
    </row>
    <row r="201" spans="1:6" ht="16.5" customHeight="1" x14ac:dyDescent="0.3">
      <c r="A201" s="23"/>
      <c r="B201"/>
      <c r="F201" s="18"/>
    </row>
    <row r="202" spans="1:6" ht="16.5" customHeight="1" x14ac:dyDescent="0.3">
      <c r="A202" s="23"/>
      <c r="B202"/>
      <c r="F202" s="18"/>
    </row>
    <row r="203" spans="1:6" ht="16.5" customHeight="1" x14ac:dyDescent="0.3">
      <c r="A203" s="23"/>
      <c r="B203"/>
      <c r="F203" s="18"/>
    </row>
    <row r="204" spans="1:6" ht="16.5" customHeight="1" x14ac:dyDescent="0.3">
      <c r="A204" s="23"/>
      <c r="B204"/>
      <c r="F204" s="18"/>
    </row>
    <row r="205" spans="1:6" ht="16.5" customHeight="1" x14ac:dyDescent="0.3">
      <c r="A205" s="23"/>
      <c r="B205"/>
      <c r="F205" s="18"/>
    </row>
    <row r="206" spans="1:6" ht="16.5" customHeight="1" x14ac:dyDescent="0.3">
      <c r="A206" s="23"/>
      <c r="B206"/>
      <c r="F206" s="18"/>
    </row>
    <row r="207" spans="1:6" ht="16.5" customHeight="1" x14ac:dyDescent="0.3">
      <c r="A207" s="23"/>
      <c r="B207"/>
      <c r="F207" s="18"/>
    </row>
    <row r="208" spans="1:6" ht="16.5" customHeight="1" x14ac:dyDescent="0.3">
      <c r="A208" s="23"/>
      <c r="B208"/>
      <c r="F208" s="18"/>
    </row>
    <row r="209" spans="1:6" ht="16.5" customHeight="1" x14ac:dyDescent="0.3">
      <c r="A209" s="23"/>
      <c r="B209"/>
      <c r="F209" s="18"/>
    </row>
    <row r="210" spans="1:6" ht="16.5" customHeight="1" x14ac:dyDescent="0.3">
      <c r="A210" s="23"/>
      <c r="B210"/>
      <c r="F210" s="18"/>
    </row>
    <row r="211" spans="1:6" ht="16.5" customHeight="1" x14ac:dyDescent="0.3">
      <c r="A211" s="23"/>
      <c r="B211"/>
      <c r="F211" s="18"/>
    </row>
    <row r="212" spans="1:6" ht="16.5" customHeight="1" x14ac:dyDescent="0.3">
      <c r="A212" s="23"/>
      <c r="B212"/>
      <c r="F212" s="18"/>
    </row>
    <row r="213" spans="1:6" ht="16.5" customHeight="1" x14ac:dyDescent="0.3">
      <c r="A213" s="23"/>
      <c r="B213"/>
      <c r="F213" s="18"/>
    </row>
    <row r="214" spans="1:6" ht="16.5" customHeight="1" x14ac:dyDescent="0.3">
      <c r="A214" s="23"/>
      <c r="B214"/>
      <c r="F214" s="18"/>
    </row>
    <row r="215" spans="1:6" ht="16.5" customHeight="1" x14ac:dyDescent="0.3">
      <c r="A215" s="23"/>
      <c r="B215"/>
      <c r="F215" s="18"/>
    </row>
    <row r="216" spans="1:6" ht="16.5" customHeight="1" x14ac:dyDescent="0.3">
      <c r="A216" s="23"/>
      <c r="B216"/>
      <c r="F216" s="18"/>
    </row>
    <row r="217" spans="1:6" ht="16.5" customHeight="1" x14ac:dyDescent="0.3">
      <c r="A217" s="23"/>
      <c r="B217"/>
      <c r="F217" s="18"/>
    </row>
    <row r="218" spans="1:6" ht="16.5" customHeight="1" x14ac:dyDescent="0.3">
      <c r="A218" s="23"/>
      <c r="B218"/>
      <c r="F218" s="18"/>
    </row>
    <row r="219" spans="1:6" ht="16.5" customHeight="1" x14ac:dyDescent="0.3">
      <c r="A219" s="23"/>
      <c r="B219"/>
      <c r="F219" s="18"/>
    </row>
    <row r="220" spans="1:6" ht="16.5" customHeight="1" x14ac:dyDescent="0.3">
      <c r="A220" s="23"/>
      <c r="B220"/>
      <c r="F220" s="18"/>
    </row>
    <row r="221" spans="1:6" ht="16.5" customHeight="1" x14ac:dyDescent="0.3">
      <c r="A221" s="23"/>
      <c r="B221"/>
      <c r="F221" s="18"/>
    </row>
    <row r="222" spans="1:6" ht="16.5" customHeight="1" x14ac:dyDescent="0.3">
      <c r="A222" s="23"/>
      <c r="B222"/>
      <c r="F222" s="18"/>
    </row>
    <row r="223" spans="1:6" ht="16.5" customHeight="1" x14ac:dyDescent="0.3">
      <c r="A223" s="23"/>
      <c r="B223"/>
      <c r="F223" s="18"/>
    </row>
    <row r="224" spans="1:6" ht="16.5" customHeight="1" x14ac:dyDescent="0.3">
      <c r="A224" s="23"/>
      <c r="B224"/>
      <c r="F224" s="18"/>
    </row>
    <row r="225" spans="1:6" ht="16.5" customHeight="1" x14ac:dyDescent="0.3">
      <c r="A225" s="23"/>
      <c r="B225"/>
      <c r="F225" s="18"/>
    </row>
    <row r="226" spans="1:6" ht="16.5" customHeight="1" x14ac:dyDescent="0.3">
      <c r="A226" s="23"/>
      <c r="B226"/>
      <c r="F226" s="18"/>
    </row>
    <row r="227" spans="1:6" ht="16.5" customHeight="1" x14ac:dyDescent="0.3">
      <c r="A227" s="23"/>
      <c r="B227"/>
      <c r="F227" s="18"/>
    </row>
    <row r="228" spans="1:6" ht="16.5" customHeight="1" x14ac:dyDescent="0.3">
      <c r="A228" s="23"/>
      <c r="B228"/>
      <c r="F228" s="18"/>
    </row>
    <row r="229" spans="1:6" ht="16.5" customHeight="1" x14ac:dyDescent="0.3">
      <c r="A229" s="23"/>
      <c r="B229"/>
      <c r="F229" s="18"/>
    </row>
    <row r="230" spans="1:6" ht="16.5" customHeight="1" x14ac:dyDescent="0.3">
      <c r="A230" s="23"/>
      <c r="B230"/>
      <c r="F230" s="18"/>
    </row>
    <row r="231" spans="1:6" ht="16.5" customHeight="1" x14ac:dyDescent="0.3">
      <c r="A231" s="23"/>
      <c r="B231"/>
      <c r="F231" s="18"/>
    </row>
    <row r="232" spans="1:6" ht="16.5" customHeight="1" x14ac:dyDescent="0.3">
      <c r="A232" s="23"/>
      <c r="B232"/>
      <c r="F232" s="18"/>
    </row>
    <row r="233" spans="1:6" ht="16.5" customHeight="1" x14ac:dyDescent="0.3">
      <c r="A233" s="23"/>
      <c r="B233"/>
      <c r="F233" s="18"/>
    </row>
    <row r="234" spans="1:6" ht="16.5" customHeight="1" x14ac:dyDescent="0.3">
      <c r="A234" s="23"/>
      <c r="B234"/>
      <c r="F234" s="18"/>
    </row>
    <row r="235" spans="1:6" ht="16.5" customHeight="1" x14ac:dyDescent="0.3">
      <c r="A235" s="23"/>
      <c r="B235"/>
      <c r="F235" s="18"/>
    </row>
    <row r="236" spans="1:6" ht="16.5" customHeight="1" x14ac:dyDescent="0.3">
      <c r="A236" s="23"/>
      <c r="B236"/>
      <c r="F236" s="18"/>
    </row>
    <row r="237" spans="1:6" ht="16.5" customHeight="1" x14ac:dyDescent="0.3">
      <c r="A237" s="23"/>
      <c r="B237"/>
      <c r="F237" s="18"/>
    </row>
    <row r="238" spans="1:6" ht="16.5" customHeight="1" x14ac:dyDescent="0.3">
      <c r="A238" s="23"/>
      <c r="B238"/>
      <c r="F238" s="18"/>
    </row>
    <row r="239" spans="1:6" ht="16.5" customHeight="1" x14ac:dyDescent="0.3">
      <c r="A239" s="23"/>
      <c r="B239"/>
      <c r="F239" s="18"/>
    </row>
    <row r="240" spans="1:6" ht="16.5" customHeight="1" x14ac:dyDescent="0.3">
      <c r="A240" s="23"/>
      <c r="B240"/>
      <c r="F240" s="18"/>
    </row>
    <row r="241" spans="1:6" ht="16.5" customHeight="1" x14ac:dyDescent="0.3">
      <c r="A241" s="23"/>
      <c r="B241"/>
      <c r="F241" s="18"/>
    </row>
    <row r="242" spans="1:6" ht="16.5" customHeight="1" x14ac:dyDescent="0.3">
      <c r="A242" s="23"/>
      <c r="B242"/>
      <c r="F242" s="18"/>
    </row>
    <row r="243" spans="1:6" ht="16.5" customHeight="1" x14ac:dyDescent="0.3">
      <c r="A243" s="23"/>
      <c r="B243"/>
      <c r="F243" s="18"/>
    </row>
    <row r="244" spans="1:6" ht="16.5" customHeight="1" x14ac:dyDescent="0.3">
      <c r="A244" s="23"/>
      <c r="B244"/>
      <c r="F244" s="18"/>
    </row>
    <row r="245" spans="1:6" ht="16.5" customHeight="1" x14ac:dyDescent="0.3">
      <c r="A245" s="23"/>
      <c r="B245"/>
      <c r="F245" s="18"/>
    </row>
    <row r="246" spans="1:6" ht="16.5" customHeight="1" x14ac:dyDescent="0.3">
      <c r="A246" s="23"/>
      <c r="B246"/>
      <c r="F246" s="18"/>
    </row>
    <row r="247" spans="1:6" ht="16.5" customHeight="1" x14ac:dyDescent="0.3">
      <c r="A247" s="23"/>
      <c r="B247"/>
      <c r="F247" s="18"/>
    </row>
    <row r="248" spans="1:6" ht="23.5" customHeight="1" x14ac:dyDescent="0.3">
      <c r="A248" s="23"/>
      <c r="B248"/>
      <c r="C248" s="20"/>
      <c r="F248" s="18"/>
    </row>
    <row r="249" spans="1:6" ht="25.9" customHeight="1" x14ac:dyDescent="0.3">
      <c r="A249" s="23"/>
      <c r="B249"/>
      <c r="C249" s="20"/>
      <c r="F249" s="18"/>
    </row>
    <row r="250" spans="1:6" ht="16.5" customHeight="1" x14ac:dyDescent="0.3">
      <c r="A250" s="23"/>
      <c r="B250"/>
      <c r="C250" s="20"/>
      <c r="F250" s="18"/>
    </row>
    <row r="251" spans="1:6" ht="16.5" customHeight="1" x14ac:dyDescent="0.3">
      <c r="A251" s="23"/>
      <c r="B251"/>
      <c r="C251" s="20"/>
      <c r="F251" s="18"/>
    </row>
    <row r="252" spans="1:6" ht="16.5" customHeight="1" x14ac:dyDescent="0.3">
      <c r="A252" s="23"/>
      <c r="B252"/>
      <c r="C252" s="20"/>
      <c r="F252" s="18"/>
    </row>
    <row r="253" spans="1:6" ht="16.5" customHeight="1" x14ac:dyDescent="0.3">
      <c r="A253" s="23"/>
      <c r="B253"/>
      <c r="F253" s="18"/>
    </row>
    <row r="254" spans="1:6" ht="16.5" customHeight="1" x14ac:dyDescent="0.3">
      <c r="A254" s="23"/>
      <c r="B254"/>
      <c r="F254" s="18"/>
    </row>
    <row r="255" spans="1:6" ht="16.5" customHeight="1" x14ac:dyDescent="0.3">
      <c r="A255" s="23"/>
      <c r="B255"/>
      <c r="F255" s="18"/>
    </row>
    <row r="256" spans="1:6" ht="16.5" customHeight="1" x14ac:dyDescent="0.3">
      <c r="A256" s="23"/>
      <c r="B256"/>
      <c r="F256" s="18"/>
    </row>
    <row r="257" spans="1:6" ht="16.5" customHeight="1" x14ac:dyDescent="0.3">
      <c r="A257" s="23"/>
      <c r="B257"/>
      <c r="F257" s="18"/>
    </row>
    <row r="258" spans="1:6" ht="16.5" customHeight="1" x14ac:dyDescent="0.3">
      <c r="A258" s="23"/>
      <c r="B258"/>
      <c r="F258" s="18"/>
    </row>
    <row r="259" spans="1:6" ht="16.5" customHeight="1" x14ac:dyDescent="0.3">
      <c r="A259" s="23"/>
      <c r="B259"/>
      <c r="F259" s="18"/>
    </row>
    <row r="260" spans="1:6" ht="16.5" customHeight="1" x14ac:dyDescent="0.3">
      <c r="A260" s="23"/>
      <c r="B260"/>
      <c r="F260" s="18"/>
    </row>
    <row r="261" spans="1:6" ht="16.5" customHeight="1" x14ac:dyDescent="0.3">
      <c r="A261" s="23"/>
      <c r="B261"/>
      <c r="F261" s="18"/>
    </row>
    <row r="262" spans="1:6" ht="16.5" customHeight="1" x14ac:dyDescent="0.3">
      <c r="A262" s="23"/>
      <c r="B262"/>
      <c r="F262" s="18"/>
    </row>
    <row r="263" spans="1:6" ht="16.5" customHeight="1" x14ac:dyDescent="0.3">
      <c r="A263" s="23"/>
      <c r="B263"/>
      <c r="F263" s="18"/>
    </row>
    <row r="264" spans="1:6" ht="16.5" customHeight="1" x14ac:dyDescent="0.3">
      <c r="A264" s="23"/>
      <c r="B264"/>
      <c r="F264" s="18"/>
    </row>
    <row r="265" spans="1:6" ht="16.5" customHeight="1" x14ac:dyDescent="0.3">
      <c r="A265" s="23"/>
      <c r="B265"/>
      <c r="F265" s="18"/>
    </row>
    <row r="266" spans="1:6" ht="16.5" customHeight="1" x14ac:dyDescent="0.3">
      <c r="A266" s="23"/>
      <c r="B266"/>
      <c r="F266" s="18"/>
    </row>
    <row r="267" spans="1:6" ht="16.5" customHeight="1" x14ac:dyDescent="0.3">
      <c r="A267" s="23"/>
      <c r="B267"/>
      <c r="F267" s="18"/>
    </row>
    <row r="268" spans="1:6" ht="16.5" customHeight="1" x14ac:dyDescent="0.3">
      <c r="A268" s="23"/>
      <c r="B268"/>
      <c r="F268" s="18"/>
    </row>
    <row r="269" spans="1:6" ht="16.5" customHeight="1" x14ac:dyDescent="0.3">
      <c r="A269" s="23"/>
      <c r="B269"/>
      <c r="F269" s="18"/>
    </row>
    <row r="270" spans="1:6" ht="16.5" customHeight="1" x14ac:dyDescent="0.3">
      <c r="A270" s="23"/>
      <c r="B270"/>
      <c r="F270" s="18"/>
    </row>
    <row r="271" spans="1:6" ht="16.5" customHeight="1" x14ac:dyDescent="0.3">
      <c r="A271" s="23"/>
      <c r="B271"/>
      <c r="F271" s="18"/>
    </row>
    <row r="272" spans="1:6" ht="16.5" customHeight="1" x14ac:dyDescent="0.3">
      <c r="A272" s="23"/>
      <c r="B272"/>
      <c r="F272" s="18"/>
    </row>
    <row r="273" spans="1:6" ht="16.5" customHeight="1" x14ac:dyDescent="0.3">
      <c r="A273" s="23"/>
      <c r="B273"/>
      <c r="F273" s="18"/>
    </row>
    <row r="274" spans="1:6" ht="16.5" customHeight="1" x14ac:dyDescent="0.3">
      <c r="A274" s="23"/>
      <c r="B274"/>
      <c r="F274" s="18"/>
    </row>
    <row r="275" spans="1:6" ht="16.5" customHeight="1" x14ac:dyDescent="0.3">
      <c r="A275" s="23"/>
      <c r="B275"/>
      <c r="F275" s="18"/>
    </row>
    <row r="276" spans="1:6" ht="16.5" customHeight="1" x14ac:dyDescent="0.3">
      <c r="A276" s="23"/>
      <c r="B276"/>
      <c r="F276" s="18"/>
    </row>
    <row r="277" spans="1:6" ht="16.5" customHeight="1" x14ac:dyDescent="0.3">
      <c r="A277" s="23"/>
      <c r="B277"/>
      <c r="F277" s="18"/>
    </row>
    <row r="278" spans="1:6" ht="16.5" customHeight="1" x14ac:dyDescent="0.3">
      <c r="A278" s="23"/>
      <c r="B278"/>
      <c r="F278" s="18"/>
    </row>
    <row r="279" spans="1:6" ht="16.5" customHeight="1" x14ac:dyDescent="0.3">
      <c r="A279" s="23"/>
      <c r="B279"/>
      <c r="F279" s="18"/>
    </row>
    <row r="280" spans="1:6" ht="16.5" customHeight="1" x14ac:dyDescent="0.3">
      <c r="A280" s="23"/>
      <c r="B280"/>
      <c r="F280" s="18"/>
    </row>
    <row r="281" spans="1:6" ht="16.5" customHeight="1" x14ac:dyDescent="0.3">
      <c r="A281" s="23"/>
      <c r="B281"/>
      <c r="F281" s="18"/>
    </row>
    <row r="282" spans="1:6" ht="16.5" customHeight="1" x14ac:dyDescent="0.3">
      <c r="A282" s="23"/>
      <c r="B282"/>
      <c r="F282" s="18"/>
    </row>
    <row r="283" spans="1:6" ht="16.5" customHeight="1" x14ac:dyDescent="0.3">
      <c r="A283" s="23"/>
      <c r="B283"/>
      <c r="F283" s="18"/>
    </row>
    <row r="284" spans="1:6" ht="16.5" customHeight="1" x14ac:dyDescent="0.3">
      <c r="A284" s="23"/>
      <c r="B284"/>
      <c r="F284" s="18"/>
    </row>
    <row r="285" spans="1:6" ht="16.5" customHeight="1" x14ac:dyDescent="0.3">
      <c r="A285" s="23"/>
      <c r="B285"/>
      <c r="F285" s="18"/>
    </row>
    <row r="286" spans="1:6" ht="16.5" customHeight="1" x14ac:dyDescent="0.3">
      <c r="A286" s="23"/>
      <c r="B286"/>
      <c r="F286" s="18"/>
    </row>
    <row r="287" spans="1:6" ht="16.5" customHeight="1" x14ac:dyDescent="0.3">
      <c r="A287" s="23"/>
      <c r="B287"/>
      <c r="F287" s="18"/>
    </row>
    <row r="288" spans="1:6" ht="16.5" customHeight="1" x14ac:dyDescent="0.3">
      <c r="A288" s="23"/>
      <c r="B288"/>
      <c r="F288" s="18"/>
    </row>
    <row r="289" spans="1:6" ht="16.5" customHeight="1" x14ac:dyDescent="0.3">
      <c r="A289" s="23"/>
      <c r="B289"/>
      <c r="F289" s="18"/>
    </row>
    <row r="290" spans="1:6" ht="16.5" customHeight="1" x14ac:dyDescent="0.3">
      <c r="A290" s="23"/>
      <c r="B290"/>
      <c r="F290" s="18"/>
    </row>
    <row r="291" spans="1:6" ht="16.5" customHeight="1" x14ac:dyDescent="0.3">
      <c r="A291" s="23"/>
      <c r="B291"/>
      <c r="F291" s="18"/>
    </row>
    <row r="292" spans="1:6" ht="16.5" customHeight="1" x14ac:dyDescent="0.3">
      <c r="A292" s="23"/>
      <c r="B292"/>
      <c r="F292" s="18"/>
    </row>
    <row r="293" spans="1:6" ht="16.5" customHeight="1" x14ac:dyDescent="0.3">
      <c r="A293" s="23"/>
      <c r="B293"/>
      <c r="F293" s="18"/>
    </row>
    <row r="294" spans="1:6" ht="16.5" customHeight="1" x14ac:dyDescent="0.3">
      <c r="A294" s="23"/>
      <c r="B294"/>
      <c r="F294" s="18"/>
    </row>
    <row r="295" spans="1:6" ht="16.5" customHeight="1" x14ac:dyDescent="0.3">
      <c r="A295" s="23"/>
      <c r="B295"/>
      <c r="F295" s="18"/>
    </row>
    <row r="296" spans="1:6" ht="16.5" customHeight="1" x14ac:dyDescent="0.3">
      <c r="A296" s="23"/>
      <c r="B296"/>
      <c r="F296" s="18"/>
    </row>
    <row r="297" spans="1:6" ht="16.5" customHeight="1" x14ac:dyDescent="0.3">
      <c r="A297" s="23"/>
      <c r="B297"/>
      <c r="F297" s="18"/>
    </row>
    <row r="298" spans="1:6" ht="16.5" customHeight="1" x14ac:dyDescent="0.3">
      <c r="A298" s="23"/>
      <c r="B298"/>
      <c r="F298" s="18"/>
    </row>
    <row r="299" spans="1:6" ht="16.5" customHeight="1" x14ac:dyDescent="0.3">
      <c r="A299" s="23"/>
      <c r="B299"/>
      <c r="F299" s="18"/>
    </row>
    <row r="300" spans="1:6" ht="16.5" customHeight="1" x14ac:dyDescent="0.3">
      <c r="A300" s="23"/>
      <c r="B300"/>
      <c r="F300" s="18"/>
    </row>
    <row r="301" spans="1:6" ht="16.5" customHeight="1" x14ac:dyDescent="0.3">
      <c r="A301" s="23"/>
      <c r="B301"/>
      <c r="F301" s="18"/>
    </row>
    <row r="302" spans="1:6" ht="16.5" customHeight="1" x14ac:dyDescent="0.3">
      <c r="A302" s="23"/>
      <c r="B302"/>
      <c r="F302" s="18"/>
    </row>
    <row r="303" spans="1:6" ht="16.5" customHeight="1" x14ac:dyDescent="0.3">
      <c r="A303" s="23"/>
      <c r="B303"/>
      <c r="F303" s="18"/>
    </row>
    <row r="304" spans="1:6" ht="16.5" customHeight="1" x14ac:dyDescent="0.3">
      <c r="A304" s="23"/>
      <c r="B304"/>
      <c r="F304" s="18"/>
    </row>
    <row r="305" spans="1:6" ht="16.5" customHeight="1" x14ac:dyDescent="0.3">
      <c r="A305" s="23"/>
      <c r="B305"/>
      <c r="F305" s="18"/>
    </row>
    <row r="306" spans="1:6" ht="16.5" customHeight="1" x14ac:dyDescent="0.3">
      <c r="A306" s="23"/>
      <c r="B306"/>
      <c r="F306" s="18"/>
    </row>
    <row r="307" spans="1:6" ht="16.5" customHeight="1" x14ac:dyDescent="0.3">
      <c r="A307" s="23"/>
      <c r="B307"/>
      <c r="F307" s="18"/>
    </row>
    <row r="308" spans="1:6" ht="16.5" customHeight="1" x14ac:dyDescent="0.3">
      <c r="A308" s="23"/>
      <c r="B308"/>
      <c r="F308" s="18"/>
    </row>
    <row r="309" spans="1:6" ht="16.5" customHeight="1" x14ac:dyDescent="0.3">
      <c r="A309" s="23"/>
      <c r="B309"/>
      <c r="F309" s="18"/>
    </row>
    <row r="310" spans="1:6" ht="16.5" customHeight="1" x14ac:dyDescent="0.3">
      <c r="A310" s="23"/>
      <c r="B310"/>
      <c r="F310" s="18"/>
    </row>
    <row r="311" spans="1:6" ht="16.5" customHeight="1" x14ac:dyDescent="0.3">
      <c r="A311" s="23"/>
      <c r="B311"/>
      <c r="F311" s="18"/>
    </row>
    <row r="312" spans="1:6" ht="16.5" customHeight="1" x14ac:dyDescent="0.3">
      <c r="A312" s="23"/>
      <c r="B312"/>
      <c r="F312" s="18"/>
    </row>
    <row r="313" spans="1:6" ht="16.5" customHeight="1" x14ac:dyDescent="0.3">
      <c r="A313" s="23"/>
      <c r="B313"/>
      <c r="F313" s="18"/>
    </row>
    <row r="314" spans="1:6" ht="16.5" customHeight="1" x14ac:dyDescent="0.3">
      <c r="A314" s="23"/>
      <c r="B314"/>
      <c r="F314" s="18"/>
    </row>
    <row r="315" spans="1:6" ht="16.5" customHeight="1" x14ac:dyDescent="0.3">
      <c r="A315" s="23"/>
      <c r="B315"/>
      <c r="F315" s="18"/>
    </row>
    <row r="316" spans="1:6" ht="16.5" customHeight="1" x14ac:dyDescent="0.3">
      <c r="A316" s="23"/>
      <c r="B316"/>
      <c r="F316" s="18"/>
    </row>
    <row r="317" spans="1:6" ht="16.5" customHeight="1" x14ac:dyDescent="0.3">
      <c r="A317" s="23"/>
      <c r="B317"/>
      <c r="F317" s="18"/>
    </row>
    <row r="318" spans="1:6" ht="16.5" customHeight="1" x14ac:dyDescent="0.3">
      <c r="A318" s="23"/>
      <c r="B318"/>
      <c r="F318" s="18"/>
    </row>
    <row r="319" spans="1:6" ht="16.5" customHeight="1" x14ac:dyDescent="0.3">
      <c r="A319" s="23"/>
      <c r="B319"/>
      <c r="F319" s="18"/>
    </row>
    <row r="320" spans="1:6" ht="16.5" customHeight="1" x14ac:dyDescent="0.3">
      <c r="A320" s="23"/>
      <c r="B320"/>
      <c r="F320" s="18"/>
    </row>
    <row r="321" spans="1:6" ht="16.5" customHeight="1" x14ac:dyDescent="0.3">
      <c r="A321" s="23"/>
      <c r="B321"/>
      <c r="F321" s="18"/>
    </row>
    <row r="322" spans="1:6" ht="16.5" customHeight="1" x14ac:dyDescent="0.3">
      <c r="A322" s="23"/>
      <c r="B322"/>
      <c r="F322" s="18"/>
    </row>
    <row r="323" spans="1:6" ht="16.5" customHeight="1" x14ac:dyDescent="0.3">
      <c r="A323" s="23"/>
      <c r="B323"/>
      <c r="F323" s="18"/>
    </row>
    <row r="324" spans="1:6" ht="16.5" customHeight="1" x14ac:dyDescent="0.3">
      <c r="A324" s="23"/>
      <c r="B324"/>
      <c r="F324" s="18"/>
    </row>
    <row r="325" spans="1:6" ht="16.5" customHeight="1" x14ac:dyDescent="0.3">
      <c r="A325" s="23"/>
      <c r="B325"/>
      <c r="F325" s="18"/>
    </row>
    <row r="326" spans="1:6" ht="16.5" customHeight="1" x14ac:dyDescent="0.3">
      <c r="A326" s="23"/>
      <c r="B326"/>
      <c r="F326" s="18"/>
    </row>
    <row r="327" spans="1:6" ht="16.5" customHeight="1" x14ac:dyDescent="0.3">
      <c r="A327" s="23"/>
      <c r="B327"/>
      <c r="F327" s="18"/>
    </row>
    <row r="328" spans="1:6" ht="16.5" customHeight="1" x14ac:dyDescent="0.3">
      <c r="A328" s="23"/>
      <c r="B328"/>
      <c r="F328" s="18"/>
    </row>
    <row r="329" spans="1:6" ht="16.5" customHeight="1" x14ac:dyDescent="0.3">
      <c r="A329" s="23"/>
      <c r="B329"/>
      <c r="F329" s="18"/>
    </row>
    <row r="330" spans="1:6" ht="16.5" customHeight="1" x14ac:dyDescent="0.3">
      <c r="A330" s="23"/>
      <c r="B330"/>
      <c r="F330" s="18"/>
    </row>
    <row r="331" spans="1:6" ht="16.5" customHeight="1" x14ac:dyDescent="0.3">
      <c r="A331" s="23"/>
      <c r="B331"/>
      <c r="F331" s="18"/>
    </row>
    <row r="332" spans="1:6" ht="16.5" customHeight="1" x14ac:dyDescent="0.3">
      <c r="A332" s="23"/>
      <c r="B332"/>
      <c r="F332" s="18"/>
    </row>
    <row r="333" spans="1:6" ht="16.5" customHeight="1" x14ac:dyDescent="0.3">
      <c r="A333" s="23"/>
      <c r="B333"/>
      <c r="F333" s="18"/>
    </row>
    <row r="334" spans="1:6" ht="16.5" customHeight="1" x14ac:dyDescent="0.3">
      <c r="A334" s="23"/>
      <c r="B334"/>
      <c r="F334" s="18"/>
    </row>
    <row r="335" spans="1:6" ht="16.5" customHeight="1" x14ac:dyDescent="0.3">
      <c r="A335" s="23"/>
      <c r="B335"/>
      <c r="F335" s="18"/>
    </row>
    <row r="336" spans="1:6" ht="16.5" customHeight="1" x14ac:dyDescent="0.3">
      <c r="A336" s="23"/>
      <c r="B336"/>
      <c r="F336" s="18"/>
    </row>
    <row r="337" spans="1:6" ht="16.5" customHeight="1" x14ac:dyDescent="0.3">
      <c r="A337" s="23"/>
      <c r="B337"/>
      <c r="F337" s="18"/>
    </row>
    <row r="338" spans="1:6" ht="16.5" customHeight="1" x14ac:dyDescent="0.3">
      <c r="A338" s="23"/>
      <c r="B338"/>
      <c r="F338" s="18"/>
    </row>
    <row r="339" spans="1:6" ht="16.5" customHeight="1" x14ac:dyDescent="0.3">
      <c r="A339" s="23"/>
      <c r="B339"/>
      <c r="F339" s="18"/>
    </row>
    <row r="340" spans="1:6" ht="16.5" customHeight="1" x14ac:dyDescent="0.3">
      <c r="A340" s="23"/>
      <c r="B340"/>
      <c r="F340" s="18"/>
    </row>
    <row r="341" spans="1:6" ht="16.5" customHeight="1" x14ac:dyDescent="0.3">
      <c r="A341" s="23"/>
      <c r="B341"/>
      <c r="F341" s="18"/>
    </row>
    <row r="342" spans="1:6" ht="16.5" customHeight="1" x14ac:dyDescent="0.3">
      <c r="A342" s="23"/>
      <c r="B342"/>
      <c r="F342" s="18"/>
    </row>
    <row r="343" spans="1:6" ht="16.5" customHeight="1" x14ac:dyDescent="0.3">
      <c r="A343" s="23"/>
      <c r="B343"/>
      <c r="F343" s="18"/>
    </row>
    <row r="344" spans="1:6" ht="16.5" customHeight="1" x14ac:dyDescent="0.3">
      <c r="A344" s="23"/>
      <c r="B344"/>
      <c r="F344" s="18"/>
    </row>
    <row r="345" spans="1:6" ht="16.5" customHeight="1" x14ac:dyDescent="0.3">
      <c r="A345" s="23"/>
      <c r="B345"/>
      <c r="F345" s="18"/>
    </row>
    <row r="346" spans="1:6" ht="16.5" customHeight="1" x14ac:dyDescent="0.3">
      <c r="A346" s="23"/>
      <c r="B346"/>
      <c r="F346" s="18"/>
    </row>
    <row r="347" spans="1:6" ht="16.5" customHeight="1" x14ac:dyDescent="0.3">
      <c r="A347" s="23"/>
      <c r="B347"/>
      <c r="F347" s="18"/>
    </row>
    <row r="348" spans="1:6" ht="16.5" customHeight="1" x14ac:dyDescent="0.3">
      <c r="A348" s="23"/>
      <c r="B348"/>
      <c r="F348" s="18"/>
    </row>
    <row r="349" spans="1:6" ht="16.5" customHeight="1" x14ac:dyDescent="0.3">
      <c r="A349" s="23"/>
      <c r="B349"/>
      <c r="F349" s="18"/>
    </row>
    <row r="350" spans="1:6" ht="16.5" customHeight="1" x14ac:dyDescent="0.3">
      <c r="A350" s="23"/>
      <c r="B350"/>
      <c r="F350" s="18"/>
    </row>
    <row r="351" spans="1:6" ht="16.5" customHeight="1" x14ac:dyDescent="0.3">
      <c r="A351" s="23"/>
      <c r="B351"/>
      <c r="F351" s="18"/>
    </row>
    <row r="352" spans="1:6" ht="16.5" customHeight="1" x14ac:dyDescent="0.3">
      <c r="A352" s="23"/>
      <c r="B352"/>
      <c r="F352" s="18"/>
    </row>
    <row r="353" spans="1:6" ht="16.5" customHeight="1" x14ac:dyDescent="0.3">
      <c r="A353" s="23"/>
      <c r="B353"/>
      <c r="F353" s="18"/>
    </row>
    <row r="354" spans="1:6" ht="16.5" customHeight="1" x14ac:dyDescent="0.3">
      <c r="A354" s="23"/>
      <c r="B354"/>
      <c r="F354" s="18"/>
    </row>
    <row r="355" spans="1:6" ht="16.5" customHeight="1" x14ac:dyDescent="0.3">
      <c r="A355" s="23"/>
      <c r="B355"/>
      <c r="F355" s="18"/>
    </row>
    <row r="356" spans="1:6" ht="16.5" customHeight="1" x14ac:dyDescent="0.3">
      <c r="A356" s="23"/>
      <c r="B356"/>
      <c r="F356" s="18"/>
    </row>
    <row r="357" spans="1:6" ht="16.5" customHeight="1" x14ac:dyDescent="0.3">
      <c r="A357" s="23"/>
      <c r="B357"/>
      <c r="F357" s="18"/>
    </row>
    <row r="358" spans="1:6" ht="16.5" customHeight="1" x14ac:dyDescent="0.3">
      <c r="A358" s="23"/>
      <c r="B358"/>
      <c r="F358" s="18"/>
    </row>
    <row r="359" spans="1:6" ht="16.5" customHeight="1" x14ac:dyDescent="0.3">
      <c r="A359" s="23"/>
      <c r="B359"/>
      <c r="F359" s="18"/>
    </row>
    <row r="360" spans="1:6" ht="16.5" customHeight="1" x14ac:dyDescent="0.3">
      <c r="A360" s="23"/>
      <c r="B360"/>
      <c r="F360" s="18"/>
    </row>
    <row r="361" spans="1:6" ht="16.5" customHeight="1" x14ac:dyDescent="0.3">
      <c r="A361" s="23"/>
      <c r="B361"/>
      <c r="F361" s="18"/>
    </row>
    <row r="362" spans="1:6" ht="16.5" customHeight="1" x14ac:dyDescent="0.3">
      <c r="A362" s="23"/>
      <c r="B362"/>
      <c r="F362" s="18"/>
    </row>
    <row r="363" spans="1:6" ht="16.5" customHeight="1" x14ac:dyDescent="0.3">
      <c r="A363" s="23"/>
      <c r="B363"/>
      <c r="F363" s="18"/>
    </row>
    <row r="364" spans="1:6" ht="16.5" customHeight="1" x14ac:dyDescent="0.3">
      <c r="A364" s="23"/>
      <c r="B364"/>
      <c r="F364" s="18"/>
    </row>
    <row r="365" spans="1:6" ht="16.5" customHeight="1" x14ac:dyDescent="0.3">
      <c r="A365" s="23"/>
      <c r="B365"/>
      <c r="F365" s="18"/>
    </row>
    <row r="366" spans="1:6" ht="16.5" customHeight="1" x14ac:dyDescent="0.3">
      <c r="A366" s="23"/>
      <c r="B366"/>
      <c r="F366" s="18"/>
    </row>
    <row r="367" spans="1:6" ht="16.5" customHeight="1" x14ac:dyDescent="0.3">
      <c r="A367" s="23"/>
      <c r="B367"/>
      <c r="F367" s="18"/>
    </row>
    <row r="368" spans="1:6" ht="16.5" customHeight="1" x14ac:dyDescent="0.3">
      <c r="A368" s="23"/>
      <c r="B368"/>
      <c r="F368" s="18"/>
    </row>
    <row r="369" spans="1:6" ht="16.5" customHeight="1" x14ac:dyDescent="0.3">
      <c r="A369" s="23"/>
      <c r="B369"/>
      <c r="F369" s="18"/>
    </row>
    <row r="370" spans="1:6" ht="16.5" customHeight="1" x14ac:dyDescent="0.3">
      <c r="A370" s="23"/>
      <c r="B370"/>
      <c r="F370" s="18"/>
    </row>
    <row r="371" spans="1:6" ht="16.5" customHeight="1" x14ac:dyDescent="0.3">
      <c r="A371" s="23"/>
      <c r="B371"/>
      <c r="F371" s="18"/>
    </row>
    <row r="372" spans="1:6" ht="16.5" customHeight="1" x14ac:dyDescent="0.3">
      <c r="A372" s="23"/>
      <c r="B372"/>
      <c r="F372" s="18"/>
    </row>
    <row r="373" spans="1:6" ht="16.5" customHeight="1" x14ac:dyDescent="0.3">
      <c r="A373" s="23"/>
      <c r="B373"/>
      <c r="F373" s="18"/>
    </row>
    <row r="374" spans="1:6" ht="16.5" customHeight="1" x14ac:dyDescent="0.3">
      <c r="A374" s="23"/>
      <c r="B374"/>
      <c r="F374" s="18"/>
    </row>
    <row r="375" spans="1:6" ht="16.5" customHeight="1" x14ac:dyDescent="0.3">
      <c r="A375" s="23"/>
      <c r="B375"/>
      <c r="F375" s="18"/>
    </row>
    <row r="376" spans="1:6" ht="16.5" customHeight="1" x14ac:dyDescent="0.3">
      <c r="A376" s="23"/>
      <c r="B376"/>
      <c r="F376" s="18"/>
    </row>
    <row r="377" spans="1:6" ht="16.5" customHeight="1" x14ac:dyDescent="0.3">
      <c r="A377" s="23"/>
      <c r="B377"/>
      <c r="F377" s="18"/>
    </row>
    <row r="378" spans="1:6" ht="16.5" customHeight="1" x14ac:dyDescent="0.3">
      <c r="A378" s="23"/>
      <c r="B378"/>
      <c r="F378" s="18"/>
    </row>
    <row r="379" spans="1:6" ht="16.5" customHeight="1" x14ac:dyDescent="0.3">
      <c r="A379" s="23"/>
      <c r="B379"/>
      <c r="F379" s="18"/>
    </row>
    <row r="380" spans="1:6" ht="16.5" customHeight="1" x14ac:dyDescent="0.3">
      <c r="A380" s="23"/>
      <c r="B380"/>
      <c r="F380" s="18"/>
    </row>
    <row r="381" spans="1:6" ht="16.5" customHeight="1" x14ac:dyDescent="0.3">
      <c r="A381" s="23"/>
      <c r="F381" s="18"/>
    </row>
    <row r="382" spans="1:6" ht="16.5" customHeight="1" x14ac:dyDescent="0.3">
      <c r="A382" s="23"/>
      <c r="B382"/>
      <c r="F382" s="18"/>
    </row>
    <row r="383" spans="1:6" ht="16.5" customHeight="1" x14ac:dyDescent="0.3">
      <c r="A383" s="23"/>
      <c r="B383"/>
      <c r="F383" s="18"/>
    </row>
    <row r="384" spans="1:6" ht="16.5" customHeight="1" x14ac:dyDescent="0.3">
      <c r="A384" s="23"/>
      <c r="B384"/>
      <c r="F384" s="18"/>
    </row>
    <row r="385" spans="1:6" ht="16.5" customHeight="1" x14ac:dyDescent="0.3">
      <c r="A385" s="23"/>
      <c r="B385"/>
      <c r="F385" s="18"/>
    </row>
    <row r="386" spans="1:6" ht="16.5" customHeight="1" x14ac:dyDescent="0.3">
      <c r="A386" s="23"/>
      <c r="B386"/>
      <c r="F386" s="18"/>
    </row>
    <row r="387" spans="1:6" ht="16.5" customHeight="1" x14ac:dyDescent="0.3">
      <c r="A387" s="23"/>
      <c r="B387"/>
      <c r="F387" s="18"/>
    </row>
    <row r="388" spans="1:6" ht="16.5" customHeight="1" x14ac:dyDescent="0.3">
      <c r="A388" s="23"/>
      <c r="B388"/>
      <c r="F388" s="18"/>
    </row>
    <row r="389" spans="1:6" ht="16.5" customHeight="1" x14ac:dyDescent="0.3">
      <c r="A389" s="23"/>
      <c r="B389"/>
      <c r="F389" s="18"/>
    </row>
    <row r="390" spans="1:6" ht="16.5" customHeight="1" x14ac:dyDescent="0.3">
      <c r="A390" s="23"/>
      <c r="B390"/>
      <c r="F390" s="18"/>
    </row>
    <row r="391" spans="1:6" ht="16.5" customHeight="1" x14ac:dyDescent="0.3">
      <c r="A391" s="23"/>
      <c r="B391"/>
      <c r="F391" s="18"/>
    </row>
    <row r="392" spans="1:6" ht="16.5" customHeight="1" x14ac:dyDescent="0.3">
      <c r="A392" s="23"/>
      <c r="B392"/>
      <c r="F392" s="18"/>
    </row>
    <row r="393" spans="1:6" ht="16.5" customHeight="1" x14ac:dyDescent="0.3">
      <c r="A393" s="23"/>
      <c r="B393"/>
      <c r="F393" s="18"/>
    </row>
    <row r="394" spans="1:6" ht="16.5" customHeight="1" x14ac:dyDescent="0.3">
      <c r="A394" s="23"/>
      <c r="B394"/>
      <c r="F394" s="18"/>
    </row>
    <row r="395" spans="1:6" ht="16.5" customHeight="1" x14ac:dyDescent="0.3">
      <c r="A395" s="23"/>
      <c r="B395"/>
      <c r="F395" s="18"/>
    </row>
    <row r="396" spans="1:6" ht="16.5" customHeight="1" x14ac:dyDescent="0.3">
      <c r="A396" s="23"/>
      <c r="B396"/>
      <c r="F396" s="18"/>
    </row>
    <row r="397" spans="1:6" ht="16.5" customHeight="1" x14ac:dyDescent="0.3">
      <c r="A397" s="23"/>
      <c r="B397"/>
      <c r="F397" s="18"/>
    </row>
    <row r="398" spans="1:6" ht="16.5" customHeight="1" x14ac:dyDescent="0.3">
      <c r="A398" s="23"/>
      <c r="B398"/>
      <c r="F398" s="18"/>
    </row>
    <row r="399" spans="1:6" ht="16.5" customHeight="1" x14ac:dyDescent="0.3">
      <c r="A399" s="23"/>
      <c r="B399"/>
      <c r="F399" s="18"/>
    </row>
    <row r="400" spans="1:6" ht="16.5" customHeight="1" x14ac:dyDescent="0.3">
      <c r="A400" s="23"/>
      <c r="B400"/>
      <c r="F400" s="18"/>
    </row>
    <row r="401" spans="1:6" ht="16.5" customHeight="1" x14ac:dyDescent="0.3">
      <c r="A401" s="23"/>
      <c r="B401"/>
      <c r="F401" s="18"/>
    </row>
    <row r="402" spans="1:6" ht="16.5" customHeight="1" x14ac:dyDescent="0.3">
      <c r="A402" s="23"/>
      <c r="B402"/>
      <c r="F402" s="18"/>
    </row>
    <row r="403" spans="1:6" ht="16.5" customHeight="1" x14ac:dyDescent="0.3">
      <c r="A403" s="23"/>
      <c r="B403"/>
      <c r="F403" s="18"/>
    </row>
    <row r="404" spans="1:6" ht="16.5" customHeight="1" x14ac:dyDescent="0.3">
      <c r="A404" s="23"/>
      <c r="B404"/>
      <c r="F404" s="18"/>
    </row>
    <row r="405" spans="1:6" ht="16.5" customHeight="1" x14ac:dyDescent="0.3">
      <c r="A405" s="23"/>
      <c r="B405"/>
      <c r="F405" s="18"/>
    </row>
    <row r="406" spans="1:6" ht="16.5" customHeight="1" x14ac:dyDescent="0.3">
      <c r="A406" s="23"/>
      <c r="B406"/>
      <c r="F406" s="18"/>
    </row>
    <row r="407" spans="1:6" ht="16.5" customHeight="1" x14ac:dyDescent="0.3">
      <c r="A407" s="23"/>
      <c r="B407"/>
      <c r="F407" s="18"/>
    </row>
    <row r="408" spans="1:6" ht="16.5" customHeight="1" x14ac:dyDescent="0.3">
      <c r="A408" s="23"/>
      <c r="B408"/>
      <c r="F408" s="18"/>
    </row>
    <row r="409" spans="1:6" ht="16.5" customHeight="1" x14ac:dyDescent="0.3">
      <c r="A409" s="23"/>
      <c r="B409"/>
      <c r="F409" s="18"/>
    </row>
    <row r="410" spans="1:6" ht="16.5" customHeight="1" x14ac:dyDescent="0.3">
      <c r="A410" s="23"/>
      <c r="B410"/>
      <c r="F410" s="18"/>
    </row>
    <row r="411" spans="1:6" ht="16.5" customHeight="1" x14ac:dyDescent="0.3">
      <c r="A411" s="23"/>
      <c r="B411"/>
      <c r="F411" s="18"/>
    </row>
    <row r="412" spans="1:6" ht="16.5" customHeight="1" x14ac:dyDescent="0.3">
      <c r="A412" s="23"/>
      <c r="B412"/>
      <c r="F412" s="18"/>
    </row>
    <row r="413" spans="1:6" ht="16.5" customHeight="1" x14ac:dyDescent="0.3">
      <c r="A413" s="23"/>
      <c r="B413"/>
      <c r="F413" s="18"/>
    </row>
    <row r="414" spans="1:6" ht="16.5" customHeight="1" x14ac:dyDescent="0.3">
      <c r="A414" s="23"/>
      <c r="B414"/>
      <c r="F414" s="18"/>
    </row>
    <row r="415" spans="1:6" ht="16.5" customHeight="1" x14ac:dyDescent="0.3">
      <c r="A415" s="23"/>
      <c r="B415"/>
      <c r="F415" s="18"/>
    </row>
    <row r="416" spans="1:6" ht="16.5" customHeight="1" x14ac:dyDescent="0.3">
      <c r="A416" s="23"/>
      <c r="B416"/>
      <c r="F416" s="18"/>
    </row>
    <row r="417" spans="1:6" ht="16.5" customHeight="1" x14ac:dyDescent="0.3">
      <c r="A417" s="23"/>
      <c r="B417"/>
      <c r="F417" s="18"/>
    </row>
    <row r="418" spans="1:6" ht="16.5" customHeight="1" x14ac:dyDescent="0.3">
      <c r="A418" s="23"/>
      <c r="B418"/>
      <c r="D418" s="16"/>
      <c r="E418" s="17"/>
      <c r="F418" s="22"/>
    </row>
    <row r="419" spans="1:6" ht="16.5" customHeight="1" x14ac:dyDescent="0.3">
      <c r="A419" s="23"/>
      <c r="B419"/>
      <c r="F419" s="18"/>
    </row>
    <row r="420" spans="1:6" ht="16.5" customHeight="1" x14ac:dyDescent="0.3">
      <c r="A420" s="23"/>
      <c r="B420"/>
      <c r="F420" s="18"/>
    </row>
    <row r="421" spans="1:6" ht="16.5" customHeight="1" x14ac:dyDescent="0.3">
      <c r="A421" s="23"/>
      <c r="B421"/>
      <c r="F421" s="18"/>
    </row>
    <row r="422" spans="1:6" ht="16.5" customHeight="1" x14ac:dyDescent="0.3">
      <c r="A422" s="23"/>
      <c r="B422"/>
      <c r="F422" s="18"/>
    </row>
    <row r="423" spans="1:6" ht="16.5" customHeight="1" x14ac:dyDescent="0.3">
      <c r="A423" s="23"/>
      <c r="B423"/>
      <c r="F423" s="18"/>
    </row>
    <row r="424" spans="1:6" ht="16.5" customHeight="1" x14ac:dyDescent="0.3">
      <c r="A424" s="23"/>
      <c r="B424"/>
      <c r="F424" s="18"/>
    </row>
    <row r="425" spans="1:6" ht="16.5" customHeight="1" x14ac:dyDescent="0.3">
      <c r="A425" s="23"/>
      <c r="B425"/>
      <c r="F425" s="18"/>
    </row>
    <row r="426" spans="1:6" ht="16.5" customHeight="1" x14ac:dyDescent="0.3">
      <c r="A426" s="23"/>
      <c r="B426"/>
      <c r="F426" s="18"/>
    </row>
    <row r="427" spans="1:6" ht="16.5" customHeight="1" x14ac:dyDescent="0.3">
      <c r="A427" s="23"/>
      <c r="B427"/>
      <c r="F427" s="18"/>
    </row>
    <row r="428" spans="1:6" ht="16.5" customHeight="1" x14ac:dyDescent="0.3">
      <c r="A428" s="23"/>
      <c r="B428"/>
      <c r="F428" s="18"/>
    </row>
    <row r="429" spans="1:6" ht="16.5" customHeight="1" x14ac:dyDescent="0.3">
      <c r="A429" s="23"/>
      <c r="B429"/>
      <c r="F429" s="18"/>
    </row>
    <row r="430" spans="1:6" ht="16.5" customHeight="1" x14ac:dyDescent="0.3">
      <c r="A430" s="23"/>
      <c r="B430"/>
      <c r="F430" s="18"/>
    </row>
    <row r="431" spans="1:6" ht="16.5" customHeight="1" x14ac:dyDescent="0.3">
      <c r="A431" s="23"/>
      <c r="B431"/>
      <c r="F431" s="18"/>
    </row>
    <row r="432" spans="1:6" ht="16.5" customHeight="1" x14ac:dyDescent="0.3">
      <c r="A432" s="23"/>
      <c r="B432"/>
      <c r="F432" s="18"/>
    </row>
    <row r="433" spans="1:6" ht="16.5" customHeight="1" x14ac:dyDescent="0.3">
      <c r="A433" s="23"/>
      <c r="B433"/>
      <c r="F433" s="18"/>
    </row>
    <row r="434" spans="1:6" ht="16.5" customHeight="1" x14ac:dyDescent="0.3">
      <c r="A434" s="23"/>
      <c r="B434"/>
      <c r="F434" s="18"/>
    </row>
    <row r="435" spans="1:6" ht="16.5" customHeight="1" x14ac:dyDescent="0.3">
      <c r="A435" s="23"/>
      <c r="B435"/>
      <c r="F435" s="18"/>
    </row>
    <row r="436" spans="1:6" ht="16.5" customHeight="1" x14ac:dyDescent="0.3">
      <c r="A436" s="23"/>
      <c r="B436"/>
      <c r="F436" s="18"/>
    </row>
    <row r="437" spans="1:6" ht="16.149999999999999" customHeight="1" x14ac:dyDescent="0.3">
      <c r="A437" s="23"/>
      <c r="B437"/>
      <c r="F437" s="18"/>
    </row>
    <row r="438" spans="1:6" ht="16.5" customHeight="1" x14ac:dyDescent="0.3">
      <c r="A438" s="23"/>
      <c r="B438"/>
      <c r="F438" s="18"/>
    </row>
    <row r="439" spans="1:6" ht="16.5" customHeight="1" x14ac:dyDescent="0.3">
      <c r="A439" s="23"/>
      <c r="B439"/>
      <c r="F439" s="18"/>
    </row>
    <row r="440" spans="1:6" ht="16.5" customHeight="1" x14ac:dyDescent="0.3">
      <c r="A440" s="23"/>
      <c r="B440"/>
      <c r="F440" s="18"/>
    </row>
    <row r="441" spans="1:6" ht="16.5" customHeight="1" x14ac:dyDescent="0.3">
      <c r="A441" s="23"/>
      <c r="B441"/>
      <c r="F441" s="18"/>
    </row>
    <row r="442" spans="1:6" ht="16.5" customHeight="1" x14ac:dyDescent="0.3">
      <c r="A442" s="23"/>
      <c r="B442"/>
      <c r="D442" s="16"/>
      <c r="E442" s="17"/>
      <c r="F442" s="22"/>
    </row>
    <row r="443" spans="1:6" ht="16.5" customHeight="1" x14ac:dyDescent="0.3">
      <c r="A443" s="23"/>
      <c r="B443"/>
      <c r="F443" s="18"/>
    </row>
    <row r="444" spans="1:6" ht="16.5" customHeight="1" x14ac:dyDescent="0.3">
      <c r="A444" s="23"/>
      <c r="B444"/>
      <c r="F444" s="18"/>
    </row>
    <row r="445" spans="1:6" ht="16.5" customHeight="1" x14ac:dyDescent="0.3">
      <c r="A445" s="23"/>
      <c r="B445"/>
      <c r="F445" s="18"/>
    </row>
    <row r="446" spans="1:6" ht="16.5" customHeight="1" x14ac:dyDescent="0.3">
      <c r="A446" s="23"/>
      <c r="B446"/>
      <c r="F446" s="18"/>
    </row>
    <row r="447" spans="1:6" ht="16.5" customHeight="1" x14ac:dyDescent="0.3">
      <c r="A447" s="23"/>
      <c r="B447"/>
      <c r="F447" s="18"/>
    </row>
    <row r="448" spans="1:6" ht="16.5" customHeight="1" x14ac:dyDescent="0.3">
      <c r="A448" s="23"/>
      <c r="B448"/>
      <c r="F448" s="18"/>
    </row>
    <row r="449" spans="1:6" ht="16.5" customHeight="1" x14ac:dyDescent="0.3">
      <c r="A449" s="23"/>
      <c r="B449"/>
      <c r="F449" s="18"/>
    </row>
    <row r="450" spans="1:6" ht="16.5" customHeight="1" x14ac:dyDescent="0.3">
      <c r="A450" s="23"/>
      <c r="B450"/>
      <c r="F450" s="18"/>
    </row>
    <row r="451" spans="1:6" ht="16.5" customHeight="1" x14ac:dyDescent="0.3">
      <c r="A451" s="23"/>
      <c r="B451"/>
      <c r="F451" s="18"/>
    </row>
    <row r="452" spans="1:6" ht="16.5" customHeight="1" x14ac:dyDescent="0.3">
      <c r="A452" s="23"/>
      <c r="B452"/>
      <c r="F452" s="18"/>
    </row>
    <row r="453" spans="1:6" ht="16.5" customHeight="1" x14ac:dyDescent="0.3">
      <c r="A453" s="23"/>
      <c r="B453"/>
      <c r="F453" s="18"/>
    </row>
    <row r="454" spans="1:6" ht="16.5" customHeight="1" x14ac:dyDescent="0.3">
      <c r="A454" s="23"/>
      <c r="B454"/>
      <c r="F454" s="18"/>
    </row>
    <row r="455" spans="1:6" ht="16.5" customHeight="1" x14ac:dyDescent="0.3">
      <c r="A455" s="23"/>
      <c r="B455"/>
      <c r="F455" s="18"/>
    </row>
    <row r="456" spans="1:6" ht="16.5" customHeight="1" x14ac:dyDescent="0.3">
      <c r="A456" s="23"/>
      <c r="B456"/>
      <c r="F456" s="18"/>
    </row>
    <row r="457" spans="1:6" ht="16.5" customHeight="1" x14ac:dyDescent="0.3">
      <c r="A457" s="23"/>
      <c r="B457"/>
      <c r="F457" s="18"/>
    </row>
    <row r="458" spans="1:6" ht="16.5" customHeight="1" x14ac:dyDescent="0.3">
      <c r="A458" s="23"/>
      <c r="B458"/>
      <c r="F458" s="18"/>
    </row>
    <row r="459" spans="1:6" ht="16.5" customHeight="1" x14ac:dyDescent="0.3">
      <c r="A459" s="23"/>
      <c r="B459"/>
      <c r="F459" s="18"/>
    </row>
    <row r="460" spans="1:6" ht="16.5" customHeight="1" x14ac:dyDescent="0.3">
      <c r="A460" s="23"/>
      <c r="B460"/>
      <c r="F460" s="18"/>
    </row>
    <row r="461" spans="1:6" ht="16.5" customHeight="1" x14ac:dyDescent="0.3">
      <c r="A461" s="23"/>
      <c r="B461"/>
      <c r="F461" s="18"/>
    </row>
    <row r="462" spans="1:6" ht="16.5" customHeight="1" x14ac:dyDescent="0.3">
      <c r="A462" s="23"/>
      <c r="B462"/>
      <c r="F462" s="18"/>
    </row>
    <row r="463" spans="1:6" ht="16.5" customHeight="1" x14ac:dyDescent="0.3">
      <c r="A463" s="23"/>
      <c r="B463"/>
      <c r="F463" s="18"/>
    </row>
    <row r="464" spans="1:6" ht="16.5" customHeight="1" x14ac:dyDescent="0.3">
      <c r="A464" s="23"/>
      <c r="B464"/>
      <c r="F464" s="18"/>
    </row>
    <row r="465" spans="1:6" ht="16.5" customHeight="1" x14ac:dyDescent="0.3">
      <c r="A465" s="23"/>
      <c r="B465"/>
      <c r="F465" s="18"/>
    </row>
    <row r="466" spans="1:6" ht="16.5" customHeight="1" x14ac:dyDescent="0.3">
      <c r="A466" s="23"/>
      <c r="B466"/>
      <c r="F466" s="18"/>
    </row>
    <row r="467" spans="1:6" ht="16.5" customHeight="1" x14ac:dyDescent="0.3">
      <c r="A467" s="23"/>
      <c r="B467"/>
      <c r="F467" s="18"/>
    </row>
    <row r="468" spans="1:6" ht="16.5" customHeight="1" x14ac:dyDescent="0.3">
      <c r="A468" s="23"/>
      <c r="B468"/>
      <c r="F468" s="18"/>
    </row>
    <row r="469" spans="1:6" ht="16.5" customHeight="1" x14ac:dyDescent="0.3">
      <c r="A469" s="23"/>
      <c r="B469"/>
      <c r="F469" s="18"/>
    </row>
    <row r="470" spans="1:6" ht="16.5" customHeight="1" x14ac:dyDescent="0.3">
      <c r="A470" s="23"/>
      <c r="B470"/>
      <c r="F470" s="18"/>
    </row>
    <row r="471" spans="1:6" ht="16.5" customHeight="1" x14ac:dyDescent="0.3">
      <c r="A471" s="23"/>
      <c r="B471"/>
      <c r="F471" s="18"/>
    </row>
    <row r="472" spans="1:6" ht="16.5" customHeight="1" x14ac:dyDescent="0.3">
      <c r="A472" s="23"/>
      <c r="B472"/>
      <c r="F472" s="18"/>
    </row>
    <row r="473" spans="1:6" ht="16.5" customHeight="1" x14ac:dyDescent="0.3">
      <c r="A473" s="23"/>
      <c r="B473"/>
      <c r="F473" s="18"/>
    </row>
    <row r="474" spans="1:6" ht="16.5" customHeight="1" x14ac:dyDescent="0.3">
      <c r="A474" s="23"/>
      <c r="B474"/>
      <c r="F474" s="18"/>
    </row>
    <row r="475" spans="1:6" ht="16.5" customHeight="1" x14ac:dyDescent="0.3">
      <c r="A475" s="23"/>
      <c r="B475"/>
      <c r="F475" s="18"/>
    </row>
    <row r="476" spans="1:6" ht="16.5" customHeight="1" x14ac:dyDescent="0.3">
      <c r="A476" s="23"/>
      <c r="B476"/>
      <c r="F476" s="18"/>
    </row>
    <row r="477" spans="1:6" ht="16.5" customHeight="1" x14ac:dyDescent="0.3">
      <c r="A477" s="23"/>
      <c r="B477"/>
      <c r="F477" s="18"/>
    </row>
    <row r="478" spans="1:6" ht="16.5" customHeight="1" x14ac:dyDescent="0.3">
      <c r="A478" s="23"/>
      <c r="B478"/>
      <c r="F478" s="18"/>
    </row>
    <row r="479" spans="1:6" ht="16.5" customHeight="1" x14ac:dyDescent="0.3">
      <c r="A479" s="23"/>
      <c r="B479"/>
      <c r="F479" s="18"/>
    </row>
    <row r="480" spans="1:6" ht="16.5" customHeight="1" x14ac:dyDescent="0.3">
      <c r="A480" s="23"/>
      <c r="B480"/>
      <c r="F480" s="18"/>
    </row>
    <row r="481" spans="1:6" ht="16.5" customHeight="1" x14ac:dyDescent="0.3">
      <c r="A481" s="23"/>
      <c r="B481"/>
      <c r="F481" s="18"/>
    </row>
    <row r="482" spans="1:6" ht="16.5" customHeight="1" x14ac:dyDescent="0.3">
      <c r="A482" s="23"/>
      <c r="B482"/>
      <c r="F482" s="18"/>
    </row>
    <row r="483" spans="1:6" ht="16.5" customHeight="1" x14ac:dyDescent="0.3">
      <c r="A483" s="23"/>
      <c r="B483"/>
      <c r="F483" s="18"/>
    </row>
    <row r="484" spans="1:6" ht="16.5" customHeight="1" x14ac:dyDescent="0.3">
      <c r="A484" s="23"/>
      <c r="B484"/>
      <c r="F484" s="18"/>
    </row>
    <row r="485" spans="1:6" ht="16.5" customHeight="1" x14ac:dyDescent="0.3">
      <c r="A485" s="23"/>
      <c r="B485"/>
      <c r="F485" s="18"/>
    </row>
    <row r="486" spans="1:6" ht="16.5" customHeight="1" x14ac:dyDescent="0.3">
      <c r="A486" s="23"/>
      <c r="B486"/>
      <c r="F486" s="18"/>
    </row>
    <row r="487" spans="1:6" ht="16.5" customHeight="1" x14ac:dyDescent="0.3">
      <c r="A487" s="23"/>
      <c r="B487"/>
      <c r="F487" s="18"/>
    </row>
    <row r="488" spans="1:6" ht="16.5" customHeight="1" x14ac:dyDescent="0.3">
      <c r="A488" s="23"/>
      <c r="B488"/>
      <c r="F488" s="18"/>
    </row>
    <row r="489" spans="1:6" ht="16.5" customHeight="1" x14ac:dyDescent="0.3">
      <c r="A489" s="23"/>
      <c r="B489"/>
      <c r="F489" s="18"/>
    </row>
    <row r="490" spans="1:6" ht="16.5" customHeight="1" x14ac:dyDescent="0.3">
      <c r="A490" s="23"/>
      <c r="B490"/>
      <c r="F490" s="18"/>
    </row>
    <row r="491" spans="1:6" ht="16.5" customHeight="1" x14ac:dyDescent="0.3">
      <c r="A491" s="23"/>
      <c r="B491"/>
      <c r="F491" s="18"/>
    </row>
    <row r="492" spans="1:6" ht="16.5" customHeight="1" x14ac:dyDescent="0.3">
      <c r="A492" s="23"/>
      <c r="B492"/>
      <c r="F492" s="18"/>
    </row>
    <row r="493" spans="1:6" ht="16.5" customHeight="1" x14ac:dyDescent="0.3">
      <c r="A493" s="23"/>
      <c r="B493"/>
      <c r="F493" s="18"/>
    </row>
    <row r="494" spans="1:6" ht="16.5" customHeight="1" x14ac:dyDescent="0.3">
      <c r="A494" s="23"/>
      <c r="B494"/>
      <c r="F494" s="18"/>
    </row>
    <row r="495" spans="1:6" ht="16.5" customHeight="1" x14ac:dyDescent="0.3">
      <c r="A495" s="23"/>
      <c r="B495"/>
      <c r="F495" s="18"/>
    </row>
    <row r="496" spans="1:6" ht="16.5" customHeight="1" x14ac:dyDescent="0.3">
      <c r="A496" s="23"/>
      <c r="B496"/>
      <c r="F496" s="18"/>
    </row>
    <row r="497" spans="1:6" ht="16.5" customHeight="1" x14ac:dyDescent="0.3">
      <c r="A497" s="23"/>
      <c r="B497"/>
      <c r="F497" s="18"/>
    </row>
    <row r="498" spans="1:6" ht="16.5" customHeight="1" x14ac:dyDescent="0.3">
      <c r="A498" s="23"/>
      <c r="B498"/>
      <c r="F498" s="18"/>
    </row>
    <row r="499" spans="1:6" ht="16.5" customHeight="1" x14ac:dyDescent="0.3">
      <c r="A499" s="23"/>
      <c r="B499"/>
      <c r="F499" s="18"/>
    </row>
    <row r="500" spans="1:6" ht="16.5" customHeight="1" x14ac:dyDescent="0.3">
      <c r="A500" s="23"/>
      <c r="B500"/>
      <c r="F500" s="18"/>
    </row>
    <row r="501" spans="1:6" ht="16.5" customHeight="1" x14ac:dyDescent="0.3">
      <c r="A501" s="23"/>
      <c r="B501"/>
      <c r="F501" s="18"/>
    </row>
    <row r="502" spans="1:6" ht="16.5" customHeight="1" x14ac:dyDescent="0.3">
      <c r="A502" s="23"/>
      <c r="B502"/>
      <c r="F502" s="18"/>
    </row>
    <row r="503" spans="1:6" ht="16.5" customHeight="1" x14ac:dyDescent="0.3">
      <c r="A503" s="23"/>
      <c r="B503"/>
      <c r="F503" s="18"/>
    </row>
    <row r="504" spans="1:6" ht="16.5" customHeight="1" x14ac:dyDescent="0.3">
      <c r="A504" s="23"/>
      <c r="B504"/>
      <c r="F504" s="18"/>
    </row>
    <row r="505" spans="1:6" ht="16.5" customHeight="1" x14ac:dyDescent="0.3">
      <c r="A505" s="23"/>
      <c r="B505"/>
      <c r="F505" s="18"/>
    </row>
    <row r="506" spans="1:6" ht="16.5" customHeight="1" x14ac:dyDescent="0.3">
      <c r="A506" s="23"/>
      <c r="B506"/>
      <c r="F506" s="18"/>
    </row>
    <row r="507" spans="1:6" ht="16.5" customHeight="1" x14ac:dyDescent="0.3">
      <c r="A507" s="23"/>
      <c r="B507"/>
      <c r="F507" s="18"/>
    </row>
    <row r="508" spans="1:6" ht="16.5" customHeight="1" x14ac:dyDescent="0.3">
      <c r="A508" s="23"/>
      <c r="B508"/>
      <c r="F508" s="18"/>
    </row>
    <row r="509" spans="1:6" ht="16.5" customHeight="1" x14ac:dyDescent="0.3">
      <c r="A509" s="23"/>
      <c r="B509"/>
      <c r="F509" s="18"/>
    </row>
    <row r="510" spans="1:6" ht="16.5" customHeight="1" x14ac:dyDescent="0.3">
      <c r="A510" s="23"/>
      <c r="B510"/>
      <c r="F510" s="18"/>
    </row>
    <row r="511" spans="1:6" ht="16.5" customHeight="1" x14ac:dyDescent="0.3">
      <c r="A511" s="23"/>
      <c r="B511"/>
      <c r="F511" s="18"/>
    </row>
    <row r="512" spans="1:6" ht="16.5" customHeight="1" x14ac:dyDescent="0.3">
      <c r="A512" s="23"/>
      <c r="B512"/>
      <c r="F512" s="18"/>
    </row>
    <row r="513" spans="1:6" ht="16.5" customHeight="1" x14ac:dyDescent="0.3">
      <c r="A513" s="23"/>
      <c r="B513"/>
      <c r="F513" s="19"/>
    </row>
    <row r="514" spans="1:6" ht="16.5" customHeight="1" x14ac:dyDescent="0.3">
      <c r="A514" s="23"/>
      <c r="B514"/>
      <c r="F514" s="18"/>
    </row>
    <row r="515" spans="1:6" ht="16.5" customHeight="1" x14ac:dyDescent="0.3">
      <c r="A515" s="23"/>
      <c r="B515"/>
      <c r="F515" s="18"/>
    </row>
    <row r="516" spans="1:6" ht="16.5" customHeight="1" x14ac:dyDescent="0.3">
      <c r="A516" s="23"/>
      <c r="B516"/>
      <c r="F516" s="18"/>
    </row>
    <row r="517" spans="1:6" ht="16.5" customHeight="1" x14ac:dyDescent="0.3">
      <c r="A517" s="23"/>
      <c r="B517"/>
      <c r="F517" s="18"/>
    </row>
    <row r="518" spans="1:6" ht="16.5" customHeight="1" x14ac:dyDescent="0.3">
      <c r="A518" s="23"/>
      <c r="B518"/>
      <c r="F518" s="18"/>
    </row>
    <row r="519" spans="1:6" ht="16.5" customHeight="1" x14ac:dyDescent="0.3">
      <c r="A519" s="23"/>
      <c r="B519"/>
      <c r="F519" s="18"/>
    </row>
    <row r="520" spans="1:6" ht="16.5" customHeight="1" x14ac:dyDescent="0.3">
      <c r="A520" s="23"/>
      <c r="B520"/>
      <c r="F520" s="18"/>
    </row>
    <row r="521" spans="1:6" ht="16.5" customHeight="1" x14ac:dyDescent="0.3">
      <c r="A521" s="23"/>
      <c r="B521"/>
      <c r="F521" s="18"/>
    </row>
    <row r="522" spans="1:6" ht="16.5" customHeight="1" x14ac:dyDescent="0.3">
      <c r="A522" s="23"/>
      <c r="B522"/>
      <c r="F522" s="18"/>
    </row>
    <row r="523" spans="1:6" ht="16.5" customHeight="1" x14ac:dyDescent="0.3">
      <c r="A523" s="23"/>
      <c r="B523"/>
      <c r="F523" s="18"/>
    </row>
    <row r="524" spans="1:6" ht="16.5" customHeight="1" x14ac:dyDescent="0.3">
      <c r="A524" s="23"/>
      <c r="B524"/>
      <c r="F524" s="18"/>
    </row>
    <row r="525" spans="1:6" ht="16.5" customHeight="1" x14ac:dyDescent="0.3">
      <c r="A525" s="23"/>
      <c r="B525"/>
      <c r="F525" s="18"/>
    </row>
    <row r="526" spans="1:6" ht="16.5" customHeight="1" x14ac:dyDescent="0.3">
      <c r="A526" s="23"/>
      <c r="B526"/>
      <c r="F526" s="18"/>
    </row>
    <row r="527" spans="1:6" ht="16.5" customHeight="1" x14ac:dyDescent="0.3">
      <c r="A527" s="23"/>
      <c r="B527"/>
      <c r="F527" s="18"/>
    </row>
    <row r="528" spans="1:6" ht="16.5" customHeight="1" x14ac:dyDescent="0.3">
      <c r="A528" s="23"/>
      <c r="B528"/>
      <c r="F528" s="18"/>
    </row>
    <row r="529" spans="1:6" ht="16.5" customHeight="1" x14ac:dyDescent="0.3">
      <c r="A529" s="23"/>
      <c r="B529"/>
      <c r="F529" s="18"/>
    </row>
    <row r="530" spans="1:6" ht="16.5" customHeight="1" x14ac:dyDescent="0.3">
      <c r="A530" s="23"/>
      <c r="B530"/>
      <c r="F530" s="18"/>
    </row>
    <row r="531" spans="1:6" ht="16.5" customHeight="1" x14ac:dyDescent="0.3">
      <c r="A531" s="23"/>
      <c r="B531"/>
      <c r="F531" s="18"/>
    </row>
    <row r="532" spans="1:6" ht="16.5" customHeight="1" x14ac:dyDescent="0.3">
      <c r="A532" s="23"/>
      <c r="B532"/>
      <c r="F532" s="18"/>
    </row>
    <row r="533" spans="1:6" ht="16.5" customHeight="1" x14ac:dyDescent="0.3">
      <c r="A533" s="23"/>
      <c r="B533"/>
      <c r="F533" s="18"/>
    </row>
    <row r="534" spans="1:6" ht="16.5" customHeight="1" x14ac:dyDescent="0.3">
      <c r="A534" s="23"/>
      <c r="B534"/>
      <c r="F534" s="18"/>
    </row>
    <row r="535" spans="1:6" ht="16.5" customHeight="1" x14ac:dyDescent="0.3">
      <c r="A535" s="23"/>
      <c r="B535"/>
      <c r="F535" s="18"/>
    </row>
    <row r="536" spans="1:6" ht="16.5" customHeight="1" x14ac:dyDescent="0.3">
      <c r="A536" s="23"/>
      <c r="B536"/>
      <c r="F536" s="18"/>
    </row>
    <row r="537" spans="1:6" ht="16.5" customHeight="1" x14ac:dyDescent="0.3">
      <c r="A537" s="23"/>
      <c r="B537"/>
      <c r="F537" s="18"/>
    </row>
    <row r="538" spans="1:6" ht="16.5" customHeight="1" x14ac:dyDescent="0.3">
      <c r="A538" s="23"/>
      <c r="B538"/>
      <c r="F538" s="18"/>
    </row>
    <row r="539" spans="1:6" ht="16.5" customHeight="1" x14ac:dyDescent="0.3">
      <c r="A539" s="23"/>
      <c r="B539"/>
      <c r="F539" s="18"/>
    </row>
    <row r="540" spans="1:6" ht="16.5" customHeight="1" x14ac:dyDescent="0.3">
      <c r="A540" s="23"/>
      <c r="B540"/>
      <c r="F540" s="18"/>
    </row>
    <row r="541" spans="1:6" ht="16.5" customHeight="1" x14ac:dyDescent="0.3">
      <c r="A541" s="23"/>
      <c r="B541"/>
      <c r="F541" s="18"/>
    </row>
    <row r="542" spans="1:6" ht="16.5" customHeight="1" x14ac:dyDescent="0.3">
      <c r="A542" s="23"/>
      <c r="B542"/>
      <c r="F542" s="18"/>
    </row>
    <row r="543" spans="1:6" ht="16.5" customHeight="1" x14ac:dyDescent="0.3">
      <c r="A543" s="23"/>
      <c r="B543"/>
      <c r="F543" s="18"/>
    </row>
    <row r="544" spans="1:6" ht="16.5" customHeight="1" x14ac:dyDescent="0.3">
      <c r="A544" s="23"/>
      <c r="B544"/>
      <c r="F544" s="18"/>
    </row>
    <row r="545" spans="1:6" ht="16.5" customHeight="1" x14ac:dyDescent="0.3">
      <c r="A545" s="23"/>
      <c r="B545"/>
      <c r="F545" s="18"/>
    </row>
    <row r="546" spans="1:6" ht="16.5" customHeight="1" x14ac:dyDescent="0.3">
      <c r="A546" s="23"/>
      <c r="B546"/>
      <c r="F546" s="18"/>
    </row>
    <row r="547" spans="1:6" ht="16.5" customHeight="1" x14ac:dyDescent="0.3">
      <c r="A547" s="23"/>
      <c r="B547"/>
      <c r="F547" s="18"/>
    </row>
    <row r="548" spans="1:6" ht="16.5" customHeight="1" x14ac:dyDescent="0.3">
      <c r="A548" s="23"/>
      <c r="B548"/>
      <c r="F548" s="18"/>
    </row>
    <row r="549" spans="1:6" ht="16.5" customHeight="1" x14ac:dyDescent="0.3">
      <c r="A549" s="23"/>
      <c r="B549"/>
      <c r="F549" s="18"/>
    </row>
    <row r="550" spans="1:6" ht="16.5" customHeight="1" x14ac:dyDescent="0.3">
      <c r="A550" s="23"/>
      <c r="B550"/>
      <c r="F550" s="18"/>
    </row>
    <row r="551" spans="1:6" ht="16.5" customHeight="1" x14ac:dyDescent="0.3">
      <c r="A551" s="23"/>
      <c r="B551"/>
      <c r="F551" s="18"/>
    </row>
    <row r="552" spans="1:6" ht="16.5" customHeight="1" x14ac:dyDescent="0.3">
      <c r="A552" s="23"/>
      <c r="B552"/>
      <c r="F552" s="18"/>
    </row>
    <row r="553" spans="1:6" ht="16.5" customHeight="1" x14ac:dyDescent="0.3">
      <c r="A553" s="23"/>
      <c r="B553"/>
      <c r="F553" s="18"/>
    </row>
    <row r="554" spans="1:6" ht="16.5" customHeight="1" x14ac:dyDescent="0.3">
      <c r="A554" s="23"/>
      <c r="B554"/>
      <c r="F554" s="18"/>
    </row>
    <row r="555" spans="1:6" ht="16.5" customHeight="1" x14ac:dyDescent="0.3">
      <c r="A555" s="23"/>
      <c r="B555"/>
      <c r="F555" s="18"/>
    </row>
    <row r="556" spans="1:6" ht="16.5" customHeight="1" x14ac:dyDescent="0.3">
      <c r="A556" s="23"/>
      <c r="B556"/>
      <c r="F556" s="18"/>
    </row>
    <row r="557" spans="1:6" ht="16.5" customHeight="1" x14ac:dyDescent="0.3">
      <c r="A557" s="23"/>
      <c r="B557"/>
      <c r="F557" s="18"/>
    </row>
    <row r="558" spans="1:6" ht="16.5" customHeight="1" x14ac:dyDescent="0.3">
      <c r="A558" s="23"/>
      <c r="B558"/>
      <c r="F558" s="18"/>
    </row>
    <row r="559" spans="1:6" ht="16.5" customHeight="1" x14ac:dyDescent="0.3">
      <c r="A559" s="23"/>
      <c r="B559"/>
      <c r="F559" s="19"/>
    </row>
    <row r="560" spans="1:6" ht="16.5" customHeight="1" x14ac:dyDescent="0.3">
      <c r="A560" s="23"/>
      <c r="B560"/>
      <c r="F560" s="19"/>
    </row>
    <row r="561" spans="1:6" ht="16.5" customHeight="1" x14ac:dyDescent="0.3">
      <c r="A561" s="23"/>
      <c r="B561"/>
      <c r="F561" s="19"/>
    </row>
    <row r="562" spans="1:6" ht="16.5" customHeight="1" x14ac:dyDescent="0.3">
      <c r="A562" s="23"/>
      <c r="B562"/>
      <c r="F562" s="19"/>
    </row>
    <row r="563" spans="1:6" ht="16.5" customHeight="1" x14ac:dyDescent="0.3">
      <c r="A563" s="23"/>
      <c r="B563"/>
      <c r="F563" s="19"/>
    </row>
    <row r="564" spans="1:6" ht="16.5" customHeight="1" x14ac:dyDescent="0.3">
      <c r="A564" s="23"/>
      <c r="B564"/>
    </row>
    <row r="565" spans="1:6" ht="16.5" customHeight="1" x14ac:dyDescent="0.3">
      <c r="A565" s="23"/>
      <c r="B565"/>
    </row>
    <row r="566" spans="1:6" ht="16.5" customHeight="1" x14ac:dyDescent="0.3">
      <c r="A566" s="23"/>
      <c r="B566"/>
    </row>
    <row r="567" spans="1:6" ht="16.5" customHeight="1" x14ac:dyDescent="0.3">
      <c r="A567" s="23"/>
      <c r="B567"/>
    </row>
    <row r="568" spans="1:6" ht="16.5" customHeight="1" x14ac:dyDescent="0.3">
      <c r="A568" s="23"/>
      <c r="B568"/>
    </row>
    <row r="569" spans="1:6" ht="16.5" customHeight="1" x14ac:dyDescent="0.3">
      <c r="A569" s="23"/>
      <c r="B569"/>
    </row>
    <row r="570" spans="1:6" ht="16.5" customHeight="1" x14ac:dyDescent="0.3">
      <c r="A570" s="23"/>
      <c r="B570"/>
    </row>
    <row r="571" spans="1:6" ht="16.5" customHeight="1" x14ac:dyDescent="0.3">
      <c r="A571" s="23"/>
      <c r="B571"/>
    </row>
    <row r="572" spans="1:6" ht="16.5" customHeight="1" x14ac:dyDescent="0.3">
      <c r="A572" s="23"/>
      <c r="B572"/>
    </row>
    <row r="573" spans="1:6" ht="16.5" customHeight="1" x14ac:dyDescent="0.3">
      <c r="A573" s="23"/>
      <c r="B573"/>
    </row>
    <row r="574" spans="1:6" ht="16.5" customHeight="1" x14ac:dyDescent="0.3">
      <c r="A574" s="23"/>
      <c r="B574"/>
    </row>
    <row r="575" spans="1:6" ht="16.5" customHeight="1" x14ac:dyDescent="0.3">
      <c r="A575" s="23"/>
      <c r="B575"/>
    </row>
    <row r="576" spans="1:6" ht="16.5" customHeight="1" x14ac:dyDescent="0.3">
      <c r="A576" s="23"/>
      <c r="B576"/>
    </row>
    <row r="577" spans="1:2" ht="16.5" customHeight="1" x14ac:dyDescent="0.3">
      <c r="A577" s="23"/>
      <c r="B577"/>
    </row>
    <row r="578" spans="1:2" ht="16.5" customHeight="1" x14ac:dyDescent="0.3">
      <c r="A578" s="23"/>
      <c r="B578"/>
    </row>
    <row r="579" spans="1:2" ht="16.5" customHeight="1" x14ac:dyDescent="0.3">
      <c r="A579" s="23"/>
      <c r="B579"/>
    </row>
    <row r="580" spans="1:2" ht="16.5" customHeight="1" x14ac:dyDescent="0.3">
      <c r="A580" s="23"/>
      <c r="B580"/>
    </row>
    <row r="581" spans="1:2" ht="16.5" customHeight="1" x14ac:dyDescent="0.3">
      <c r="A581" s="23"/>
      <c r="B581"/>
    </row>
    <row r="582" spans="1:2" ht="16.5" customHeight="1" x14ac:dyDescent="0.3">
      <c r="A582" s="23"/>
      <c r="B582"/>
    </row>
    <row r="583" spans="1:2" ht="16.5" customHeight="1" x14ac:dyDescent="0.3">
      <c r="A583" s="23"/>
      <c r="B583"/>
    </row>
    <row r="584" spans="1:2" ht="16.5" customHeight="1" x14ac:dyDescent="0.3">
      <c r="A584" s="23"/>
      <c r="B584"/>
    </row>
    <row r="585" spans="1:2" ht="16.5" customHeight="1" x14ac:dyDescent="0.3">
      <c r="A585" s="23"/>
      <c r="B585"/>
    </row>
    <row r="586" spans="1:2" ht="16.5" customHeight="1" x14ac:dyDescent="0.3">
      <c r="A586" s="23"/>
      <c r="B586"/>
    </row>
    <row r="587" spans="1:2" ht="16.5" customHeight="1" x14ac:dyDescent="0.3">
      <c r="A587" s="23"/>
      <c r="B587"/>
    </row>
    <row r="588" spans="1:2" ht="16.5" customHeight="1" x14ac:dyDescent="0.3">
      <c r="A588" s="23"/>
      <c r="B588"/>
    </row>
    <row r="589" spans="1:2" ht="16.5" customHeight="1" x14ac:dyDescent="0.3">
      <c r="A589" s="23"/>
      <c r="B589"/>
    </row>
    <row r="590" spans="1:2" ht="16.5" customHeight="1" x14ac:dyDescent="0.3">
      <c r="A590" s="23"/>
      <c r="B590"/>
    </row>
    <row r="591" spans="1:2" ht="16.5" customHeight="1" x14ac:dyDescent="0.3">
      <c r="A591" s="23"/>
      <c r="B591"/>
    </row>
    <row r="592" spans="1:2" ht="16.5" customHeight="1" x14ac:dyDescent="0.3">
      <c r="A592" s="23"/>
      <c r="B592"/>
    </row>
    <row r="593" spans="1:2" ht="16.5" customHeight="1" x14ac:dyDescent="0.3">
      <c r="A593" s="23"/>
      <c r="B593"/>
    </row>
    <row r="594" spans="1:2" ht="16.5" customHeight="1" x14ac:dyDescent="0.3">
      <c r="A594" s="23"/>
      <c r="B594"/>
    </row>
    <row r="595" spans="1:2" ht="16.5" customHeight="1" x14ac:dyDescent="0.3">
      <c r="A595" s="23"/>
      <c r="B595"/>
    </row>
    <row r="596" spans="1:2" ht="16.5" customHeight="1" x14ac:dyDescent="0.3">
      <c r="A596" s="23"/>
      <c r="B596"/>
    </row>
    <row r="597" spans="1:2" ht="16.5" customHeight="1" x14ac:dyDescent="0.3">
      <c r="A597" s="23"/>
      <c r="B597"/>
    </row>
    <row r="598" spans="1:2" ht="16.5" customHeight="1" x14ac:dyDescent="0.3">
      <c r="A598" s="23"/>
      <c r="B598"/>
    </row>
    <row r="599" spans="1:2" ht="16.5" customHeight="1" x14ac:dyDescent="0.3">
      <c r="A599" s="23"/>
      <c r="B599"/>
    </row>
    <row r="600" spans="1:2" ht="16.5" customHeight="1" x14ac:dyDescent="0.3">
      <c r="A600" s="23"/>
      <c r="B600"/>
    </row>
    <row r="601" spans="1:2" ht="16.5" customHeight="1" x14ac:dyDescent="0.3">
      <c r="A601" s="23"/>
      <c r="B601"/>
    </row>
    <row r="602" spans="1:2" ht="16.5" customHeight="1" x14ac:dyDescent="0.3">
      <c r="A602" s="23"/>
      <c r="B602"/>
    </row>
    <row r="603" spans="1:2" ht="16.5" customHeight="1" x14ac:dyDescent="0.3">
      <c r="A603" s="23"/>
      <c r="B603"/>
    </row>
    <row r="604" spans="1:2" ht="16.5" customHeight="1" x14ac:dyDescent="0.3">
      <c r="A604" s="23"/>
      <c r="B604"/>
    </row>
    <row r="605" spans="1:2" ht="16.5" customHeight="1" x14ac:dyDescent="0.3">
      <c r="A605" s="23"/>
      <c r="B605"/>
    </row>
    <row r="606" spans="1:2" ht="16.5" customHeight="1" x14ac:dyDescent="0.3">
      <c r="A606" s="23"/>
      <c r="B606"/>
    </row>
    <row r="607" spans="1:2" ht="16.5" customHeight="1" x14ac:dyDescent="0.3">
      <c r="A607" s="23"/>
      <c r="B607"/>
    </row>
    <row r="608" spans="1:2" ht="16.5" customHeight="1" x14ac:dyDescent="0.3">
      <c r="A608" s="23"/>
      <c r="B608"/>
    </row>
    <row r="609" spans="1:2" ht="16.5" customHeight="1" x14ac:dyDescent="0.3">
      <c r="A609" s="23"/>
      <c r="B609"/>
    </row>
    <row r="610" spans="1:2" ht="16.5" customHeight="1" x14ac:dyDescent="0.3">
      <c r="A610" s="23"/>
      <c r="B610"/>
    </row>
    <row r="611" spans="1:2" ht="16.5" customHeight="1" x14ac:dyDescent="0.3">
      <c r="A611" s="23"/>
      <c r="B611"/>
    </row>
    <row r="612" spans="1:2" ht="16.5" customHeight="1" x14ac:dyDescent="0.3">
      <c r="A612" s="23"/>
      <c r="B612"/>
    </row>
    <row r="613" spans="1:2" ht="16.5" customHeight="1" x14ac:dyDescent="0.3">
      <c r="A613" s="23"/>
      <c r="B613"/>
    </row>
    <row r="614" spans="1:2" ht="16.5" customHeight="1" x14ac:dyDescent="0.3">
      <c r="A614" s="23"/>
      <c r="B614"/>
    </row>
    <row r="615" spans="1:2" ht="16.5" customHeight="1" x14ac:dyDescent="0.3">
      <c r="A615" s="23"/>
      <c r="B615"/>
    </row>
    <row r="616" spans="1:2" ht="16.5" customHeight="1" x14ac:dyDescent="0.3">
      <c r="A616" s="23"/>
      <c r="B616"/>
    </row>
    <row r="617" spans="1:2" ht="16.5" customHeight="1" x14ac:dyDescent="0.3">
      <c r="A617" s="23"/>
      <c r="B617"/>
    </row>
    <row r="618" spans="1:2" ht="16.5" customHeight="1" x14ac:dyDescent="0.3">
      <c r="A618" s="23"/>
      <c r="B618"/>
    </row>
    <row r="619" spans="1:2" ht="16.5" customHeight="1" x14ac:dyDescent="0.3">
      <c r="A619" s="23"/>
      <c r="B619"/>
    </row>
    <row r="620" spans="1:2" ht="16.5" customHeight="1" x14ac:dyDescent="0.3">
      <c r="A620" s="23"/>
      <c r="B620"/>
    </row>
    <row r="621" spans="1:2" ht="16.5" customHeight="1" x14ac:dyDescent="0.3">
      <c r="A621" s="23"/>
      <c r="B621"/>
    </row>
    <row r="622" spans="1:2" ht="16.5" customHeight="1" x14ac:dyDescent="0.3">
      <c r="A622" s="23"/>
      <c r="B622"/>
    </row>
    <row r="623" spans="1:2" ht="16.5" customHeight="1" x14ac:dyDescent="0.3">
      <c r="A623" s="23"/>
      <c r="B623"/>
    </row>
    <row r="624" spans="1:2" ht="16.5" customHeight="1" x14ac:dyDescent="0.3">
      <c r="A624" s="23"/>
      <c r="B624"/>
    </row>
    <row r="625" spans="1:2" ht="16.5" customHeight="1" x14ac:dyDescent="0.3">
      <c r="A625" s="23"/>
      <c r="B625"/>
    </row>
    <row r="626" spans="1:2" ht="16.5" customHeight="1" x14ac:dyDescent="0.3">
      <c r="A626" s="23"/>
      <c r="B626"/>
    </row>
    <row r="627" spans="1:2" ht="16.5" customHeight="1" x14ac:dyDescent="0.3">
      <c r="A627" s="23"/>
      <c r="B627"/>
    </row>
    <row r="628" spans="1:2" ht="16.5" customHeight="1" x14ac:dyDescent="0.3">
      <c r="A628" s="23"/>
      <c r="B628"/>
    </row>
    <row r="629" spans="1:2" ht="16.5" customHeight="1" x14ac:dyDescent="0.3">
      <c r="A629" s="23"/>
      <c r="B629"/>
    </row>
    <row r="630" spans="1:2" ht="16.5" customHeight="1" x14ac:dyDescent="0.3">
      <c r="A630" s="23"/>
      <c r="B630"/>
    </row>
    <row r="631" spans="1:2" ht="16.5" customHeight="1" x14ac:dyDescent="0.3">
      <c r="A631" s="23"/>
      <c r="B631"/>
    </row>
    <row r="632" spans="1:2" ht="16.5" customHeight="1" x14ac:dyDescent="0.3">
      <c r="A632" s="23"/>
      <c r="B632"/>
    </row>
    <row r="633" spans="1:2" ht="16.5" customHeight="1" x14ac:dyDescent="0.3">
      <c r="A633" s="23"/>
      <c r="B633"/>
    </row>
    <row r="634" spans="1:2" ht="16.5" customHeight="1" x14ac:dyDescent="0.3">
      <c r="A634" s="23"/>
      <c r="B634"/>
    </row>
    <row r="635" spans="1:2" ht="16.5" customHeight="1" x14ac:dyDescent="0.3">
      <c r="A635" s="23"/>
      <c r="B635"/>
    </row>
    <row r="636" spans="1:2" ht="16.5" customHeight="1" x14ac:dyDescent="0.3">
      <c r="A636" s="23"/>
      <c r="B636"/>
    </row>
    <row r="637" spans="1:2" ht="16.5" customHeight="1" x14ac:dyDescent="0.3">
      <c r="A637" s="23"/>
      <c r="B637"/>
    </row>
    <row r="638" spans="1:2" ht="16.5" customHeight="1" x14ac:dyDescent="0.3">
      <c r="A638" s="23"/>
      <c r="B638"/>
    </row>
    <row r="639" spans="1:2" ht="16.5" customHeight="1" x14ac:dyDescent="0.3">
      <c r="A639" s="23"/>
      <c r="B639"/>
    </row>
    <row r="640" spans="1:2" ht="16.5" customHeight="1" x14ac:dyDescent="0.3">
      <c r="A640" s="23"/>
      <c r="B640"/>
    </row>
    <row r="641" spans="1:2" ht="16.5" customHeight="1" x14ac:dyDescent="0.3">
      <c r="A641" s="23"/>
      <c r="B641"/>
    </row>
    <row r="642" spans="1:2" ht="16.5" customHeight="1" x14ac:dyDescent="0.3">
      <c r="A642" s="23"/>
      <c r="B642"/>
    </row>
    <row r="643" spans="1:2" ht="16.5" customHeight="1" x14ac:dyDescent="0.3">
      <c r="A643" s="23"/>
      <c r="B643"/>
    </row>
    <row r="644" spans="1:2" ht="16.5" customHeight="1" x14ac:dyDescent="0.3">
      <c r="A644" s="23"/>
      <c r="B644"/>
    </row>
    <row r="645" spans="1:2" ht="16.5" customHeight="1" x14ac:dyDescent="0.3">
      <c r="A645" s="23"/>
      <c r="B645"/>
    </row>
    <row r="646" spans="1:2" ht="16.5" customHeight="1" x14ac:dyDescent="0.3">
      <c r="A646" s="23"/>
      <c r="B646"/>
    </row>
    <row r="647" spans="1:2" ht="16.5" customHeight="1" x14ac:dyDescent="0.3">
      <c r="A647" s="23"/>
      <c r="B647"/>
    </row>
    <row r="648" spans="1:2" ht="16.5" customHeight="1" x14ac:dyDescent="0.3">
      <c r="A648" s="23"/>
      <c r="B648"/>
    </row>
    <row r="649" spans="1:2" ht="16.5" customHeight="1" x14ac:dyDescent="0.3">
      <c r="A649" s="23"/>
      <c r="B649"/>
    </row>
    <row r="650" spans="1:2" ht="16.5" customHeight="1" x14ac:dyDescent="0.3">
      <c r="A650" s="23"/>
      <c r="B650"/>
    </row>
    <row r="651" spans="1:2" ht="16.5" customHeight="1" x14ac:dyDescent="0.3">
      <c r="A651" s="23"/>
      <c r="B651"/>
    </row>
    <row r="652" spans="1:2" ht="16.5" customHeight="1" x14ac:dyDescent="0.3">
      <c r="A652" s="23"/>
      <c r="B652"/>
    </row>
    <row r="653" spans="1:2" ht="16.5" customHeight="1" x14ac:dyDescent="0.3">
      <c r="A653" s="23"/>
      <c r="B653"/>
    </row>
    <row r="654" spans="1:2" ht="16.5" customHeight="1" x14ac:dyDescent="0.3">
      <c r="A654" s="23"/>
      <c r="B654"/>
    </row>
    <row r="655" spans="1:2" ht="16.5" customHeight="1" x14ac:dyDescent="0.3">
      <c r="A655" s="23"/>
      <c r="B655"/>
    </row>
    <row r="656" spans="1:2" ht="16.5" customHeight="1" x14ac:dyDescent="0.3">
      <c r="A656" s="23"/>
      <c r="B656"/>
    </row>
    <row r="657" spans="1:2" ht="16.5" customHeight="1" x14ac:dyDescent="0.3">
      <c r="A657" s="23"/>
      <c r="B657"/>
    </row>
    <row r="658" spans="1:2" ht="16.5" customHeight="1" x14ac:dyDescent="0.3">
      <c r="A658" s="23"/>
      <c r="B658"/>
    </row>
    <row r="659" spans="1:2" ht="16.5" customHeight="1" x14ac:dyDescent="0.3">
      <c r="A659" s="23"/>
      <c r="B659"/>
    </row>
    <row r="660" spans="1:2" ht="16.5" customHeight="1" x14ac:dyDescent="0.3">
      <c r="A660" s="23"/>
      <c r="B660"/>
    </row>
    <row r="661" spans="1:2" ht="16.5" customHeight="1" x14ac:dyDescent="0.3">
      <c r="A661" s="23"/>
      <c r="B661"/>
    </row>
    <row r="662" spans="1:2" ht="16.5" customHeight="1" x14ac:dyDescent="0.3">
      <c r="A662" s="23"/>
      <c r="B662"/>
    </row>
    <row r="663" spans="1:2" ht="16.5" customHeight="1" x14ac:dyDescent="0.3">
      <c r="A663" s="23"/>
      <c r="B663"/>
    </row>
    <row r="664" spans="1:2" ht="16.5" customHeight="1" x14ac:dyDescent="0.3">
      <c r="A664" s="23"/>
      <c r="B664"/>
    </row>
    <row r="665" spans="1:2" ht="16.5" customHeight="1" x14ac:dyDescent="0.3">
      <c r="A665" s="23"/>
      <c r="B665"/>
    </row>
    <row r="666" spans="1:2" ht="16.5" customHeight="1" x14ac:dyDescent="0.3">
      <c r="A666" s="23"/>
      <c r="B666"/>
    </row>
    <row r="667" spans="1:2" ht="16.5" customHeight="1" x14ac:dyDescent="0.3">
      <c r="A667" s="23"/>
      <c r="B667"/>
    </row>
    <row r="668" spans="1:2" ht="16.5" customHeight="1" x14ac:dyDescent="0.3">
      <c r="A668" s="23"/>
      <c r="B668"/>
    </row>
    <row r="669" spans="1:2" ht="16.5" customHeight="1" x14ac:dyDescent="0.3">
      <c r="A669" s="23"/>
      <c r="B669"/>
    </row>
    <row r="670" spans="1:2" ht="16.5" customHeight="1" x14ac:dyDescent="0.3">
      <c r="A670" s="23"/>
      <c r="B670"/>
    </row>
    <row r="671" spans="1:2" ht="16.5" customHeight="1" x14ac:dyDescent="0.3">
      <c r="A671" s="23"/>
      <c r="B671"/>
    </row>
    <row r="672" spans="1:2" ht="16.5" customHeight="1" x14ac:dyDescent="0.3">
      <c r="A672" s="23"/>
      <c r="B672"/>
    </row>
    <row r="673" spans="1:2" ht="16.5" customHeight="1" x14ac:dyDescent="0.3">
      <c r="A673" s="23"/>
      <c r="B673"/>
    </row>
    <row r="674" spans="1:2" ht="16.5" customHeight="1" x14ac:dyDescent="0.3">
      <c r="A674" s="23"/>
      <c r="B674"/>
    </row>
    <row r="675" spans="1:2" ht="16.5" customHeight="1" x14ac:dyDescent="0.3">
      <c r="A675" s="23"/>
      <c r="B675"/>
    </row>
    <row r="676" spans="1:2" ht="16.5" customHeight="1" x14ac:dyDescent="0.3">
      <c r="A676" s="23"/>
      <c r="B676"/>
    </row>
    <row r="677" spans="1:2" ht="16.5" customHeight="1" x14ac:dyDescent="0.3">
      <c r="A677" s="23"/>
      <c r="B677"/>
    </row>
    <row r="678" spans="1:2" ht="16.5" customHeight="1" x14ac:dyDescent="0.3">
      <c r="A678" s="23"/>
      <c r="B678"/>
    </row>
    <row r="679" spans="1:2" ht="16.5" customHeight="1" x14ac:dyDescent="0.3">
      <c r="A679" s="23"/>
      <c r="B679"/>
    </row>
    <row r="680" spans="1:2" ht="16.5" customHeight="1" x14ac:dyDescent="0.3">
      <c r="A680" s="23"/>
      <c r="B680"/>
    </row>
    <row r="681" spans="1:2" ht="16.5" customHeight="1" x14ac:dyDescent="0.3">
      <c r="A681" s="23"/>
      <c r="B681"/>
    </row>
    <row r="682" spans="1:2" ht="16.5" customHeight="1" x14ac:dyDescent="0.3">
      <c r="A682" s="23"/>
      <c r="B682"/>
    </row>
    <row r="683" spans="1:2" ht="16.5" customHeight="1" x14ac:dyDescent="0.3">
      <c r="A683" s="23"/>
      <c r="B683"/>
    </row>
    <row r="684" spans="1:2" ht="16.5" customHeight="1" x14ac:dyDescent="0.3">
      <c r="A684" s="23"/>
      <c r="B684"/>
    </row>
    <row r="685" spans="1:2" ht="16.5" customHeight="1" x14ac:dyDescent="0.3">
      <c r="A685" s="23"/>
      <c r="B685"/>
    </row>
    <row r="686" spans="1:2" ht="16.5" customHeight="1" x14ac:dyDescent="0.3">
      <c r="A686" s="23"/>
      <c r="B686"/>
    </row>
    <row r="687" spans="1:2" ht="16.5" customHeight="1" x14ac:dyDescent="0.3">
      <c r="A687" s="23"/>
      <c r="B687"/>
    </row>
    <row r="688" spans="1:2" ht="16.5" customHeight="1" x14ac:dyDescent="0.3">
      <c r="A688" s="23"/>
      <c r="B688"/>
    </row>
    <row r="689" spans="1:2" ht="16.5" customHeight="1" x14ac:dyDescent="0.3">
      <c r="A689" s="23"/>
      <c r="B689"/>
    </row>
    <row r="690" spans="1:2" ht="16.5" customHeight="1" x14ac:dyDescent="0.3">
      <c r="A690" s="23"/>
      <c r="B690"/>
    </row>
    <row r="691" spans="1:2" ht="16.5" customHeight="1" x14ac:dyDescent="0.3">
      <c r="A691" s="23"/>
      <c r="B691"/>
    </row>
    <row r="692" spans="1:2" ht="16.5" customHeight="1" x14ac:dyDescent="0.3">
      <c r="A692" s="23"/>
      <c r="B692"/>
    </row>
    <row r="693" spans="1:2" ht="16.5" customHeight="1" x14ac:dyDescent="0.3">
      <c r="A693" s="23"/>
      <c r="B693"/>
    </row>
    <row r="694" spans="1:2" ht="16.5" customHeight="1" x14ac:dyDescent="0.3">
      <c r="A694" s="23"/>
      <c r="B694"/>
    </row>
    <row r="695" spans="1:2" ht="16.5" customHeight="1" x14ac:dyDescent="0.3">
      <c r="A695" s="23"/>
      <c r="B695"/>
    </row>
    <row r="696" spans="1:2" ht="16.5" customHeight="1" x14ac:dyDescent="0.3">
      <c r="A696" s="23"/>
      <c r="B696"/>
    </row>
    <row r="697" spans="1:2" ht="16.5" customHeight="1" x14ac:dyDescent="0.3">
      <c r="A697" s="23"/>
      <c r="B697"/>
    </row>
    <row r="698" spans="1:2" ht="16.5" customHeight="1" x14ac:dyDescent="0.3">
      <c r="A698" s="23"/>
      <c r="B698"/>
    </row>
    <row r="699" spans="1:2" ht="16.5" customHeight="1" x14ac:dyDescent="0.3">
      <c r="A699" s="23"/>
      <c r="B699"/>
    </row>
    <row r="700" spans="1:2" ht="16.5" customHeight="1" x14ac:dyDescent="0.3">
      <c r="A700" s="23"/>
      <c r="B700"/>
    </row>
    <row r="701" spans="1:2" ht="16.5" customHeight="1" x14ac:dyDescent="0.3">
      <c r="A701" s="23"/>
      <c r="B701"/>
    </row>
    <row r="702" spans="1:2" ht="16.5" customHeight="1" x14ac:dyDescent="0.3">
      <c r="A702" s="23"/>
      <c r="B702"/>
    </row>
    <row r="703" spans="1:2" ht="16.5" customHeight="1" x14ac:dyDescent="0.3">
      <c r="A703" s="23"/>
      <c r="B703"/>
    </row>
    <row r="704" spans="1:2" ht="16.5" customHeight="1" x14ac:dyDescent="0.3">
      <c r="A704" s="23"/>
      <c r="B704"/>
    </row>
    <row r="705" spans="1:2" ht="16.5" customHeight="1" x14ac:dyDescent="0.3">
      <c r="A705" s="23"/>
      <c r="B705"/>
    </row>
    <row r="706" spans="1:2" ht="16.5" customHeight="1" x14ac:dyDescent="0.3">
      <c r="A706" s="23"/>
      <c r="B706"/>
    </row>
    <row r="707" spans="1:2" ht="16.5" customHeight="1" x14ac:dyDescent="0.3">
      <c r="A707" s="23"/>
      <c r="B707"/>
    </row>
    <row r="708" spans="1:2" ht="16.5" customHeight="1" x14ac:dyDescent="0.3">
      <c r="A708" s="23"/>
      <c r="B708"/>
    </row>
    <row r="709" spans="1:2" ht="16.5" customHeight="1" x14ac:dyDescent="0.3">
      <c r="A709" s="23"/>
      <c r="B709"/>
    </row>
    <row r="710" spans="1:2" ht="16.5" customHeight="1" x14ac:dyDescent="0.3">
      <c r="A710" s="23"/>
      <c r="B710"/>
    </row>
    <row r="711" spans="1:2" ht="16.5" customHeight="1" x14ac:dyDescent="0.3">
      <c r="A711" s="23"/>
      <c r="B711"/>
    </row>
    <row r="712" spans="1:2" ht="16.5" customHeight="1" x14ac:dyDescent="0.3">
      <c r="A712" s="23"/>
      <c r="B712"/>
    </row>
    <row r="713" spans="1:2" ht="16.5" customHeight="1" x14ac:dyDescent="0.3">
      <c r="A713" s="23"/>
      <c r="B713"/>
    </row>
    <row r="714" spans="1:2" ht="16.5" customHeight="1" x14ac:dyDescent="0.3">
      <c r="A714" s="23"/>
      <c r="B714"/>
    </row>
    <row r="715" spans="1:2" ht="16.5" customHeight="1" x14ac:dyDescent="0.3">
      <c r="A715" s="23"/>
      <c r="B715"/>
    </row>
    <row r="716" spans="1:2" ht="16.5" customHeight="1" x14ac:dyDescent="0.3">
      <c r="A716" s="23"/>
      <c r="B716"/>
    </row>
    <row r="717" spans="1:2" ht="16.5" customHeight="1" x14ac:dyDescent="0.3">
      <c r="A717" s="23"/>
      <c r="B717"/>
    </row>
    <row r="718" spans="1:2" ht="16.5" customHeight="1" x14ac:dyDescent="0.3">
      <c r="A718" s="23"/>
      <c r="B718"/>
    </row>
    <row r="719" spans="1:2" ht="16.5" customHeight="1" x14ac:dyDescent="0.3">
      <c r="A719" s="23"/>
      <c r="B719"/>
    </row>
    <row r="720" spans="1:2" ht="16.5" customHeight="1" x14ac:dyDescent="0.3">
      <c r="A720" s="23"/>
      <c r="B720"/>
    </row>
    <row r="721" spans="1:2" ht="16.5" customHeight="1" x14ac:dyDescent="0.3">
      <c r="A721" s="23"/>
      <c r="B721"/>
    </row>
    <row r="722" spans="1:2" ht="16.5" customHeight="1" x14ac:dyDescent="0.3">
      <c r="A722" s="23"/>
      <c r="B722"/>
    </row>
    <row r="723" spans="1:2" ht="16.5" customHeight="1" x14ac:dyDescent="0.3">
      <c r="A723" s="23"/>
      <c r="B723"/>
    </row>
    <row r="724" spans="1:2" ht="16.5" customHeight="1" x14ac:dyDescent="0.3">
      <c r="A724" s="23"/>
      <c r="B724"/>
    </row>
    <row r="725" spans="1:2" ht="16.5" customHeight="1" x14ac:dyDescent="0.3">
      <c r="A725" s="23"/>
      <c r="B725"/>
    </row>
    <row r="726" spans="1:2" ht="16.5" customHeight="1" x14ac:dyDescent="0.3">
      <c r="A726" s="23"/>
      <c r="B726"/>
    </row>
    <row r="727" spans="1:2" ht="16.5" customHeight="1" x14ac:dyDescent="0.3">
      <c r="A727" s="23"/>
      <c r="B727"/>
    </row>
    <row r="728" spans="1:2" ht="16.5" customHeight="1" x14ac:dyDescent="0.3">
      <c r="A728" s="23"/>
      <c r="B728"/>
    </row>
    <row r="729" spans="1:2" ht="16.5" customHeight="1" x14ac:dyDescent="0.3">
      <c r="A729" s="23"/>
      <c r="B729"/>
    </row>
    <row r="730" spans="1:2" ht="16.5" customHeight="1" x14ac:dyDescent="0.3">
      <c r="A730" s="23"/>
      <c r="B730"/>
    </row>
    <row r="731" spans="1:2" ht="16.5" customHeight="1" x14ac:dyDescent="0.3">
      <c r="A731" s="23"/>
      <c r="B731"/>
    </row>
    <row r="732" spans="1:2" ht="16.5" customHeight="1" x14ac:dyDescent="0.3">
      <c r="A732" s="23"/>
      <c r="B732"/>
    </row>
    <row r="733" spans="1:2" ht="16.5" customHeight="1" x14ac:dyDescent="0.3">
      <c r="A733" s="23"/>
      <c r="B733"/>
    </row>
    <row r="734" spans="1:2" ht="16.5" customHeight="1" x14ac:dyDescent="0.3">
      <c r="A734" s="23"/>
      <c r="B734"/>
    </row>
    <row r="735" spans="1:2" ht="16.5" customHeight="1" x14ac:dyDescent="0.3">
      <c r="A735" s="23"/>
      <c r="B735"/>
    </row>
    <row r="736" spans="1:2" ht="16.5" customHeight="1" x14ac:dyDescent="0.3">
      <c r="A736" s="23"/>
      <c r="B736"/>
    </row>
    <row r="737" spans="1:2" ht="16.5" customHeight="1" x14ac:dyDescent="0.3">
      <c r="A737" s="23"/>
      <c r="B737"/>
    </row>
    <row r="738" spans="1:2" ht="16.5" customHeight="1" x14ac:dyDescent="0.3">
      <c r="A738" s="23"/>
      <c r="B738"/>
    </row>
    <row r="739" spans="1:2" ht="16.5" customHeight="1" x14ac:dyDescent="0.3">
      <c r="A739" s="23"/>
      <c r="B739"/>
    </row>
    <row r="740" spans="1:2" ht="16.5" customHeight="1" x14ac:dyDescent="0.3">
      <c r="A740" s="23"/>
      <c r="B740"/>
    </row>
    <row r="741" spans="1:2" ht="16.5" customHeight="1" x14ac:dyDescent="0.3">
      <c r="A741" s="23"/>
      <c r="B741"/>
    </row>
    <row r="742" spans="1:2" ht="16.5" customHeight="1" x14ac:dyDescent="0.3">
      <c r="A742" s="23"/>
      <c r="B742"/>
    </row>
    <row r="743" spans="1:2" ht="16.5" customHeight="1" x14ac:dyDescent="0.3">
      <c r="A743" s="23"/>
      <c r="B743"/>
    </row>
    <row r="744" spans="1:2" ht="16.5" customHeight="1" x14ac:dyDescent="0.3">
      <c r="A744" s="23"/>
      <c r="B744"/>
    </row>
    <row r="745" spans="1:2" ht="16.5" customHeight="1" x14ac:dyDescent="0.3">
      <c r="A745" s="23"/>
      <c r="B745"/>
    </row>
    <row r="746" spans="1:2" ht="16.5" customHeight="1" x14ac:dyDescent="0.3">
      <c r="A746" s="23"/>
      <c r="B746"/>
    </row>
    <row r="747" spans="1:2" ht="16.5" customHeight="1" x14ac:dyDescent="0.3">
      <c r="A747" s="23"/>
      <c r="B747"/>
    </row>
    <row r="748" spans="1:2" ht="16.5" customHeight="1" x14ac:dyDescent="0.3">
      <c r="A748" s="23"/>
      <c r="B748"/>
    </row>
    <row r="749" spans="1:2" ht="16.5" customHeight="1" x14ac:dyDescent="0.3">
      <c r="A749" s="23"/>
      <c r="B749"/>
    </row>
    <row r="750" spans="1:2" ht="16.5" customHeight="1" x14ac:dyDescent="0.3">
      <c r="A750" s="23"/>
      <c r="B750"/>
    </row>
    <row r="751" spans="1:2" ht="16.5" customHeight="1" x14ac:dyDescent="0.3">
      <c r="A751" s="23"/>
      <c r="B751"/>
    </row>
    <row r="752" spans="1:2" ht="16.5" customHeight="1" x14ac:dyDescent="0.3">
      <c r="A752" s="23"/>
      <c r="B752"/>
    </row>
    <row r="753" spans="1:2" ht="16.5" customHeight="1" x14ac:dyDescent="0.3">
      <c r="A753" s="23"/>
      <c r="B753"/>
    </row>
    <row r="754" spans="1:2" ht="16.5" customHeight="1" x14ac:dyDescent="0.3">
      <c r="A754" s="23"/>
      <c r="B754"/>
    </row>
    <row r="755" spans="1:2" ht="16.5" customHeight="1" x14ac:dyDescent="0.3">
      <c r="A755" s="23"/>
      <c r="B755"/>
    </row>
    <row r="756" spans="1:2" ht="16.5" customHeight="1" x14ac:dyDescent="0.3">
      <c r="A756" s="23"/>
      <c r="B756"/>
    </row>
    <row r="757" spans="1:2" ht="16.5" customHeight="1" x14ac:dyDescent="0.3">
      <c r="A757" s="23"/>
      <c r="B757"/>
    </row>
    <row r="758" spans="1:2" ht="16.5" customHeight="1" x14ac:dyDescent="0.3">
      <c r="A758" s="23"/>
      <c r="B758"/>
    </row>
    <row r="759" spans="1:2" ht="16.5" customHeight="1" x14ac:dyDescent="0.3">
      <c r="A759" s="23"/>
      <c r="B759"/>
    </row>
    <row r="760" spans="1:2" ht="16.5" customHeight="1" x14ac:dyDescent="0.3">
      <c r="A760" s="23"/>
      <c r="B760"/>
    </row>
    <row r="761" spans="1:2" ht="16.5" customHeight="1" x14ac:dyDescent="0.3">
      <c r="A761" s="23"/>
      <c r="B761"/>
    </row>
    <row r="762" spans="1:2" ht="16.5" customHeight="1" x14ac:dyDescent="0.3">
      <c r="A762" s="23"/>
      <c r="B762"/>
    </row>
    <row r="763" spans="1:2" ht="16.5" customHeight="1" x14ac:dyDescent="0.3">
      <c r="A763" s="23"/>
      <c r="B763"/>
    </row>
    <row r="764" spans="1:2" ht="16.5" customHeight="1" x14ac:dyDescent="0.3">
      <c r="A764" s="23"/>
      <c r="B764"/>
    </row>
    <row r="765" spans="1:2" ht="16.5" customHeight="1" x14ac:dyDescent="0.3">
      <c r="A765" s="23"/>
      <c r="B765"/>
    </row>
    <row r="766" spans="1:2" ht="16.5" customHeight="1" x14ac:dyDescent="0.3">
      <c r="A766" s="23"/>
      <c r="B766"/>
    </row>
    <row r="767" spans="1:2" ht="16.5" customHeight="1" x14ac:dyDescent="0.3">
      <c r="A767" s="23"/>
      <c r="B767"/>
    </row>
    <row r="768" spans="1:2" ht="16.5" customHeight="1" x14ac:dyDescent="0.3">
      <c r="A768" s="23"/>
      <c r="B768"/>
    </row>
    <row r="769" spans="1:2" ht="16.5" customHeight="1" x14ac:dyDescent="0.3">
      <c r="A769" s="23"/>
      <c r="B769"/>
    </row>
    <row r="770" spans="1:2" ht="16.5" customHeight="1" x14ac:dyDescent="0.3">
      <c r="A770" s="23"/>
      <c r="B770"/>
    </row>
    <row r="771" spans="1:2" ht="16.5" customHeight="1" x14ac:dyDescent="0.3">
      <c r="A771" s="23"/>
      <c r="B771"/>
    </row>
    <row r="772" spans="1:2" ht="16.5" customHeight="1" x14ac:dyDescent="0.3">
      <c r="A772" s="23"/>
      <c r="B772"/>
    </row>
    <row r="773" spans="1:2" ht="16.5" customHeight="1" x14ac:dyDescent="0.3">
      <c r="A773" s="23"/>
      <c r="B773"/>
    </row>
    <row r="774" spans="1:2" ht="16.5" customHeight="1" x14ac:dyDescent="0.3">
      <c r="A774" s="23"/>
      <c r="B774"/>
    </row>
    <row r="775" spans="1:2" ht="16.5" customHeight="1" x14ac:dyDescent="0.3">
      <c r="A775" s="23"/>
      <c r="B775"/>
    </row>
    <row r="776" spans="1:2" ht="16.5" customHeight="1" x14ac:dyDescent="0.3">
      <c r="A776" s="23"/>
      <c r="B776"/>
    </row>
    <row r="777" spans="1:2" ht="16.5" customHeight="1" x14ac:dyDescent="0.3">
      <c r="A777" s="23"/>
      <c r="B777"/>
    </row>
    <row r="778" spans="1:2" ht="16.5" customHeight="1" x14ac:dyDescent="0.3">
      <c r="A778" s="23"/>
      <c r="B778"/>
    </row>
    <row r="779" spans="1:2" ht="16.5" customHeight="1" x14ac:dyDescent="0.3">
      <c r="A779" s="23"/>
      <c r="B779"/>
    </row>
    <row r="780" spans="1:2" ht="16.5" customHeight="1" x14ac:dyDescent="0.3">
      <c r="A780" s="23"/>
      <c r="B780"/>
    </row>
    <row r="781" spans="1:2" ht="16.5" customHeight="1" x14ac:dyDescent="0.3">
      <c r="A781" s="23"/>
      <c r="B781"/>
    </row>
    <row r="782" spans="1:2" ht="16.5" customHeight="1" x14ac:dyDescent="0.3">
      <c r="A782" s="23"/>
      <c r="B782"/>
    </row>
    <row r="783" spans="1:2" ht="16.5" customHeight="1" x14ac:dyDescent="0.3">
      <c r="A783" s="23"/>
      <c r="B783"/>
    </row>
    <row r="784" spans="1:2" ht="16.5" customHeight="1" x14ac:dyDescent="0.3">
      <c r="A784" s="23"/>
      <c r="B784"/>
    </row>
    <row r="785" spans="1:2" ht="16.5" customHeight="1" x14ac:dyDescent="0.3">
      <c r="A785" s="23"/>
      <c r="B785"/>
    </row>
    <row r="786" spans="1:2" ht="16.5" customHeight="1" x14ac:dyDescent="0.3">
      <c r="A786" s="23"/>
      <c r="B786"/>
    </row>
    <row r="787" spans="1:2" ht="16.5" customHeight="1" x14ac:dyDescent="0.3">
      <c r="A787" s="23"/>
      <c r="B787"/>
    </row>
    <row r="788" spans="1:2" ht="16.5" customHeight="1" x14ac:dyDescent="0.3">
      <c r="A788" s="23"/>
      <c r="B788"/>
    </row>
    <row r="789" spans="1:2" ht="16.5" customHeight="1" x14ac:dyDescent="0.3">
      <c r="A789" s="23"/>
      <c r="B789"/>
    </row>
    <row r="790" spans="1:2" ht="16.5" customHeight="1" x14ac:dyDescent="0.3">
      <c r="A790" s="23"/>
      <c r="B790"/>
    </row>
    <row r="791" spans="1:2" ht="16.5" customHeight="1" x14ac:dyDescent="0.3">
      <c r="A791" s="23"/>
      <c r="B791"/>
    </row>
    <row r="792" spans="1:2" ht="16.5" customHeight="1" x14ac:dyDescent="0.3">
      <c r="A792" s="23"/>
      <c r="B792"/>
    </row>
    <row r="793" spans="1:2" ht="16.5" customHeight="1" x14ac:dyDescent="0.3">
      <c r="A793" s="23"/>
      <c r="B793"/>
    </row>
    <row r="794" spans="1:2" ht="16.5" customHeight="1" x14ac:dyDescent="0.3">
      <c r="A794" s="23"/>
      <c r="B794"/>
    </row>
    <row r="795" spans="1:2" ht="16.5" customHeight="1" x14ac:dyDescent="0.3">
      <c r="A795" s="23"/>
      <c r="B795"/>
    </row>
    <row r="796" spans="1:2" ht="16.5" customHeight="1" x14ac:dyDescent="0.3">
      <c r="A796" s="23"/>
      <c r="B796"/>
    </row>
    <row r="797" spans="1:2" ht="16.5" customHeight="1" x14ac:dyDescent="0.3">
      <c r="A797" s="23"/>
      <c r="B797"/>
    </row>
    <row r="798" spans="1:2" ht="16.5" customHeight="1" x14ac:dyDescent="0.3">
      <c r="A798" s="23"/>
      <c r="B798"/>
    </row>
    <row r="799" spans="1:2" ht="16.5" customHeight="1" x14ac:dyDescent="0.3">
      <c r="A799" s="23"/>
      <c r="B799"/>
    </row>
    <row r="800" spans="1:2" ht="16.5" customHeight="1" x14ac:dyDescent="0.3">
      <c r="A800" s="23"/>
      <c r="B800"/>
    </row>
    <row r="801" spans="1:2" ht="16.5" customHeight="1" x14ac:dyDescent="0.3">
      <c r="A801" s="23"/>
      <c r="B801"/>
    </row>
    <row r="802" spans="1:2" ht="16.5" customHeight="1" x14ac:dyDescent="0.3">
      <c r="A802" s="23"/>
      <c r="B802"/>
    </row>
    <row r="803" spans="1:2" ht="16.5" customHeight="1" x14ac:dyDescent="0.3">
      <c r="A803" s="23"/>
      <c r="B803"/>
    </row>
    <row r="804" spans="1:2" ht="16.5" customHeight="1" x14ac:dyDescent="0.3">
      <c r="A804" s="23"/>
      <c r="B804"/>
    </row>
    <row r="805" spans="1:2" ht="16.5" customHeight="1" x14ac:dyDescent="0.3">
      <c r="A805" s="23"/>
      <c r="B805"/>
    </row>
    <row r="806" spans="1:2" ht="16.5" customHeight="1" x14ac:dyDescent="0.3">
      <c r="A806" s="23"/>
      <c r="B806"/>
    </row>
    <row r="807" spans="1:2" ht="16.5" customHeight="1" x14ac:dyDescent="0.3">
      <c r="A807" s="23"/>
      <c r="B807"/>
    </row>
    <row r="808" spans="1:2" ht="16.5" customHeight="1" x14ac:dyDescent="0.3">
      <c r="A808" s="23"/>
      <c r="B808"/>
    </row>
    <row r="809" spans="1:2" ht="16.5" customHeight="1" x14ac:dyDescent="0.3">
      <c r="A809" s="23"/>
      <c r="B809"/>
    </row>
    <row r="810" spans="1:2" ht="16.5" customHeight="1" x14ac:dyDescent="0.3">
      <c r="A810" s="23"/>
      <c r="B810"/>
    </row>
    <row r="811" spans="1:2" ht="16.5" customHeight="1" x14ac:dyDescent="0.3">
      <c r="A811" s="23"/>
      <c r="B811"/>
    </row>
    <row r="812" spans="1:2" ht="16.5" customHeight="1" x14ac:dyDescent="0.3">
      <c r="A812" s="23"/>
      <c r="B812"/>
    </row>
    <row r="813" spans="1:2" ht="16.5" customHeight="1" x14ac:dyDescent="0.3">
      <c r="A813" s="23"/>
      <c r="B813"/>
    </row>
    <row r="814" spans="1:2" ht="16.5" customHeight="1" x14ac:dyDescent="0.3">
      <c r="A814" s="23"/>
      <c r="B814"/>
    </row>
    <row r="815" spans="1:2" ht="16.5" customHeight="1" x14ac:dyDescent="0.3">
      <c r="A815" s="23"/>
      <c r="B815"/>
    </row>
    <row r="816" spans="1:2" ht="16.5" customHeight="1" x14ac:dyDescent="0.3">
      <c r="A816" s="23"/>
      <c r="B816"/>
    </row>
    <row r="817" spans="1:2" ht="16.5" customHeight="1" x14ac:dyDescent="0.3">
      <c r="A817" s="23"/>
      <c r="B817"/>
    </row>
    <row r="818" spans="1:2" ht="16.5" customHeight="1" x14ac:dyDescent="0.3">
      <c r="A818" s="23"/>
      <c r="B818"/>
    </row>
    <row r="819" spans="1:2" ht="16.5" customHeight="1" x14ac:dyDescent="0.3">
      <c r="A819" s="23"/>
      <c r="B819"/>
    </row>
    <row r="820" spans="1:2" ht="16.5" customHeight="1" x14ac:dyDescent="0.3">
      <c r="A820" s="23"/>
      <c r="B820"/>
    </row>
    <row r="821" spans="1:2" ht="16.5" customHeight="1" x14ac:dyDescent="0.3">
      <c r="A821" s="23"/>
      <c r="B821"/>
    </row>
    <row r="822" spans="1:2" ht="16.5" customHeight="1" x14ac:dyDescent="0.3">
      <c r="A822" s="23"/>
      <c r="B822"/>
    </row>
    <row r="823" spans="1:2" ht="16.5" customHeight="1" x14ac:dyDescent="0.3">
      <c r="A823" s="23"/>
      <c r="B823"/>
    </row>
    <row r="824" spans="1:2" ht="16.5" customHeight="1" x14ac:dyDescent="0.3">
      <c r="A824" s="23"/>
      <c r="B824"/>
    </row>
    <row r="825" spans="1:2" ht="16.5" customHeight="1" x14ac:dyDescent="0.3">
      <c r="A825" s="23"/>
      <c r="B825"/>
    </row>
    <row r="826" spans="1:2" ht="16.5" customHeight="1" x14ac:dyDescent="0.3">
      <c r="A826" s="23"/>
      <c r="B826"/>
    </row>
    <row r="827" spans="1:2" ht="16.5" customHeight="1" x14ac:dyDescent="0.3">
      <c r="A827" s="23"/>
      <c r="B827"/>
    </row>
    <row r="828" spans="1:2" ht="16.5" customHeight="1" x14ac:dyDescent="0.3">
      <c r="A828" s="23"/>
      <c r="B828"/>
    </row>
    <row r="829" spans="1:2" ht="16.5" customHeight="1" x14ac:dyDescent="0.3">
      <c r="A829" s="23"/>
      <c r="B829"/>
    </row>
    <row r="830" spans="1:2" ht="16.5" customHeight="1" x14ac:dyDescent="0.3">
      <c r="A830" s="23"/>
      <c r="B830"/>
    </row>
    <row r="831" spans="1:2" ht="16.5" customHeight="1" x14ac:dyDescent="0.3">
      <c r="A831" s="23"/>
      <c r="B831"/>
    </row>
    <row r="832" spans="1:2" ht="16.5" customHeight="1" x14ac:dyDescent="0.3">
      <c r="A832" s="23"/>
      <c r="B832"/>
    </row>
    <row r="833" spans="1:2" ht="16.5" customHeight="1" x14ac:dyDescent="0.3">
      <c r="A833" s="23"/>
      <c r="B833"/>
    </row>
    <row r="834" spans="1:2" ht="16.5" customHeight="1" x14ac:dyDescent="0.3">
      <c r="A834" s="23"/>
      <c r="B834"/>
    </row>
    <row r="835" spans="1:2" ht="16.5" customHeight="1" x14ac:dyDescent="0.3">
      <c r="A835" s="23"/>
      <c r="B835"/>
    </row>
    <row r="836" spans="1:2" ht="16.5" customHeight="1" x14ac:dyDescent="0.3">
      <c r="A836" s="23"/>
      <c r="B836"/>
    </row>
    <row r="837" spans="1:2" ht="16.5" customHeight="1" x14ac:dyDescent="0.3">
      <c r="A837" s="23"/>
      <c r="B837"/>
    </row>
    <row r="838" spans="1:2" ht="16.5" customHeight="1" x14ac:dyDescent="0.3">
      <c r="A838" s="23"/>
      <c r="B838"/>
    </row>
    <row r="839" spans="1:2" ht="16.5" customHeight="1" x14ac:dyDescent="0.3">
      <c r="A839" s="23"/>
      <c r="B839"/>
    </row>
    <row r="840" spans="1:2" ht="16.5" customHeight="1" x14ac:dyDescent="0.3">
      <c r="A840" s="23"/>
      <c r="B840"/>
    </row>
    <row r="841" spans="1:2" ht="16.5" customHeight="1" x14ac:dyDescent="0.3">
      <c r="A841" s="23"/>
      <c r="B841"/>
    </row>
    <row r="842" spans="1:2" ht="16.5" customHeight="1" x14ac:dyDescent="0.3">
      <c r="A842" s="23"/>
      <c r="B842"/>
    </row>
    <row r="843" spans="1:2" ht="16.5" customHeight="1" x14ac:dyDescent="0.3">
      <c r="A843" s="23"/>
      <c r="B843"/>
    </row>
    <row r="844" spans="1:2" ht="16.5" customHeight="1" x14ac:dyDescent="0.3">
      <c r="A844" s="23"/>
      <c r="B844"/>
    </row>
    <row r="845" spans="1:2" ht="16.5" customHeight="1" x14ac:dyDescent="0.3">
      <c r="A845" s="23"/>
      <c r="B845"/>
    </row>
    <row r="846" spans="1:2" ht="16.5" customHeight="1" x14ac:dyDescent="0.3">
      <c r="A846" s="23"/>
      <c r="B846"/>
    </row>
    <row r="847" spans="1:2" ht="16.5" customHeight="1" x14ac:dyDescent="0.3">
      <c r="A847" s="23"/>
      <c r="B847"/>
    </row>
    <row r="848" spans="1:2" ht="16.5" customHeight="1" x14ac:dyDescent="0.3">
      <c r="A848" s="23"/>
      <c r="B848"/>
    </row>
    <row r="849" spans="1:2" ht="16.5" customHeight="1" x14ac:dyDescent="0.3">
      <c r="A849" s="23"/>
      <c r="B849"/>
    </row>
    <row r="850" spans="1:2" ht="16.5" customHeight="1" x14ac:dyDescent="0.3">
      <c r="A850" s="23"/>
      <c r="B850"/>
    </row>
    <row r="851" spans="1:2" ht="16.5" customHeight="1" x14ac:dyDescent="0.3">
      <c r="A851" s="23"/>
      <c r="B851"/>
    </row>
    <row r="852" spans="1:2" ht="16.5" customHeight="1" x14ac:dyDescent="0.3">
      <c r="A852" s="23"/>
      <c r="B852"/>
    </row>
    <row r="853" spans="1:2" ht="16.5" customHeight="1" x14ac:dyDescent="0.3">
      <c r="A853" s="23"/>
      <c r="B853"/>
    </row>
    <row r="854" spans="1:2" ht="16.5" customHeight="1" x14ac:dyDescent="0.3">
      <c r="A854" s="23"/>
      <c r="B854"/>
    </row>
    <row r="855" spans="1:2" ht="16.5" customHeight="1" x14ac:dyDescent="0.3">
      <c r="A855" s="23"/>
      <c r="B855"/>
    </row>
    <row r="856" spans="1:2" ht="16.5" customHeight="1" x14ac:dyDescent="0.3">
      <c r="A856" s="23"/>
      <c r="B856"/>
    </row>
    <row r="857" spans="1:2" ht="16.5" customHeight="1" x14ac:dyDescent="0.3">
      <c r="A857" s="23"/>
      <c r="B857"/>
    </row>
    <row r="858" spans="1:2" ht="16.5" customHeight="1" x14ac:dyDescent="0.3">
      <c r="A858" s="23"/>
      <c r="B858"/>
    </row>
    <row r="859" spans="1:2" ht="16.5" customHeight="1" x14ac:dyDescent="0.3">
      <c r="A859" s="23"/>
      <c r="B859"/>
    </row>
    <row r="860" spans="1:2" ht="16.5" customHeight="1" x14ac:dyDescent="0.3">
      <c r="A860" s="23"/>
      <c r="B860"/>
    </row>
    <row r="861" spans="1:2" ht="16.5" customHeight="1" x14ac:dyDescent="0.3">
      <c r="A861" s="23"/>
      <c r="B861"/>
    </row>
    <row r="862" spans="1:2" ht="16.5" customHeight="1" x14ac:dyDescent="0.3">
      <c r="A862" s="23"/>
      <c r="B862"/>
    </row>
    <row r="863" spans="1:2" ht="16.5" customHeight="1" x14ac:dyDescent="0.3">
      <c r="A863" s="23"/>
      <c r="B863"/>
    </row>
    <row r="864" spans="1:2" ht="16.5" customHeight="1" x14ac:dyDescent="0.3">
      <c r="A864" s="23"/>
      <c r="B864"/>
    </row>
    <row r="865" spans="1:2" ht="16.5" customHeight="1" x14ac:dyDescent="0.3">
      <c r="A865" s="23"/>
      <c r="B865"/>
    </row>
    <row r="866" spans="1:2" ht="16.5" customHeight="1" x14ac:dyDescent="0.3">
      <c r="A866" s="23"/>
      <c r="B866"/>
    </row>
    <row r="867" spans="1:2" ht="16.5" customHeight="1" x14ac:dyDescent="0.3">
      <c r="A867" s="23"/>
      <c r="B867"/>
    </row>
    <row r="868" spans="1:2" ht="16.5" customHeight="1" x14ac:dyDescent="0.3">
      <c r="A868" s="23"/>
      <c r="B868"/>
    </row>
    <row r="869" spans="1:2" ht="16.5" customHeight="1" x14ac:dyDescent="0.3">
      <c r="A869" s="23"/>
      <c r="B869"/>
    </row>
    <row r="870" spans="1:2" ht="16.5" customHeight="1" x14ac:dyDescent="0.3">
      <c r="A870" s="23"/>
      <c r="B870"/>
    </row>
    <row r="871" spans="1:2" ht="16.5" customHeight="1" x14ac:dyDescent="0.3">
      <c r="A871" s="23"/>
      <c r="B871"/>
    </row>
    <row r="872" spans="1:2" ht="16.5" customHeight="1" x14ac:dyDescent="0.3">
      <c r="A872" s="23"/>
      <c r="B872"/>
    </row>
    <row r="873" spans="1:2" ht="16.5" customHeight="1" x14ac:dyDescent="0.3">
      <c r="A873" s="23"/>
      <c r="B873"/>
    </row>
    <row r="874" spans="1:2" ht="16.5" customHeight="1" x14ac:dyDescent="0.3">
      <c r="A874" s="23"/>
      <c r="B874"/>
    </row>
    <row r="875" spans="1:2" ht="16.5" customHeight="1" x14ac:dyDescent="0.3">
      <c r="A875" s="23"/>
      <c r="B875"/>
    </row>
    <row r="876" spans="1:2" ht="16.5" customHeight="1" x14ac:dyDescent="0.3">
      <c r="A876" s="23"/>
      <c r="B876"/>
    </row>
    <row r="877" spans="1:2" ht="16.5" customHeight="1" x14ac:dyDescent="0.3">
      <c r="A877" s="23"/>
      <c r="B877"/>
    </row>
    <row r="878" spans="1:2" ht="16.5" customHeight="1" x14ac:dyDescent="0.3">
      <c r="A878" s="23"/>
      <c r="B878"/>
    </row>
    <row r="879" spans="1:2" ht="16.5" customHeight="1" x14ac:dyDescent="0.3">
      <c r="A879" s="23"/>
      <c r="B879"/>
    </row>
    <row r="880" spans="1:2" ht="16.5" customHeight="1" x14ac:dyDescent="0.3">
      <c r="A880" s="23"/>
      <c r="B880"/>
    </row>
    <row r="881" spans="1:2" ht="16.5" customHeight="1" x14ac:dyDescent="0.3">
      <c r="A881" s="23"/>
      <c r="B881"/>
    </row>
    <row r="882" spans="1:2" ht="16.5" customHeight="1" x14ac:dyDescent="0.3">
      <c r="A882" s="23"/>
      <c r="B882"/>
    </row>
    <row r="883" spans="1:2" ht="16.5" customHeight="1" x14ac:dyDescent="0.3">
      <c r="A883" s="23"/>
      <c r="B883"/>
    </row>
    <row r="884" spans="1:2" ht="16.5" customHeight="1" x14ac:dyDescent="0.3">
      <c r="A884" s="23"/>
      <c r="B884"/>
    </row>
    <row r="885" spans="1:2" ht="16.5" customHeight="1" x14ac:dyDescent="0.3">
      <c r="A885" s="23"/>
      <c r="B885"/>
    </row>
    <row r="886" spans="1:2" ht="16.5" customHeight="1" x14ac:dyDescent="0.3">
      <c r="A886" s="23"/>
      <c r="B886"/>
    </row>
    <row r="887" spans="1:2" ht="16.5" customHeight="1" x14ac:dyDescent="0.3">
      <c r="A887" s="23"/>
      <c r="B887"/>
    </row>
    <row r="888" spans="1:2" ht="16.5" customHeight="1" x14ac:dyDescent="0.3">
      <c r="A888" s="23"/>
      <c r="B888"/>
    </row>
    <row r="889" spans="1:2" ht="16.5" customHeight="1" x14ac:dyDescent="0.3">
      <c r="A889" s="23"/>
      <c r="B889"/>
    </row>
    <row r="890" spans="1:2" ht="16.5" customHeight="1" x14ac:dyDescent="0.3">
      <c r="A890" s="23"/>
      <c r="B890"/>
    </row>
    <row r="891" spans="1:2" ht="16.5" customHeight="1" x14ac:dyDescent="0.3">
      <c r="A891" s="23"/>
      <c r="B891"/>
    </row>
    <row r="892" spans="1:2" ht="16.5" customHeight="1" x14ac:dyDescent="0.3">
      <c r="A892" s="23"/>
      <c r="B892"/>
    </row>
    <row r="893" spans="1:2" ht="16.5" customHeight="1" x14ac:dyDescent="0.3">
      <c r="A893" s="23"/>
      <c r="B893"/>
    </row>
    <row r="894" spans="1:2" ht="16.5" customHeight="1" x14ac:dyDescent="0.3">
      <c r="A894" s="23"/>
      <c r="B894"/>
    </row>
    <row r="895" spans="1:2" ht="16.5" customHeight="1" x14ac:dyDescent="0.3">
      <c r="A895" s="23"/>
      <c r="B895"/>
    </row>
    <row r="896" spans="1:2" ht="16.5" customHeight="1" x14ac:dyDescent="0.3">
      <c r="A896" s="23"/>
      <c r="B896"/>
    </row>
    <row r="897" spans="1:2" ht="16.5" customHeight="1" x14ac:dyDescent="0.3">
      <c r="A897" s="23"/>
      <c r="B897"/>
    </row>
    <row r="898" spans="1:2" ht="16.5" customHeight="1" x14ac:dyDescent="0.3">
      <c r="A898" s="23"/>
      <c r="B898"/>
    </row>
    <row r="899" spans="1:2" ht="16.5" customHeight="1" x14ac:dyDescent="0.3">
      <c r="A899" s="23"/>
      <c r="B899"/>
    </row>
    <row r="900" spans="1:2" ht="16.5" customHeight="1" x14ac:dyDescent="0.3">
      <c r="A900" s="23"/>
      <c r="B900"/>
    </row>
    <row r="901" spans="1:2" ht="16.5" customHeight="1" x14ac:dyDescent="0.3">
      <c r="A901" s="23"/>
      <c r="B901"/>
    </row>
    <row r="902" spans="1:2" ht="16.5" customHeight="1" x14ac:dyDescent="0.3">
      <c r="A902" s="23"/>
      <c r="B902"/>
    </row>
    <row r="903" spans="1:2" ht="16.5" customHeight="1" x14ac:dyDescent="0.3">
      <c r="A903" s="23"/>
      <c r="B903"/>
    </row>
    <row r="904" spans="1:2" ht="16.5" customHeight="1" x14ac:dyDescent="0.3">
      <c r="A904" s="23"/>
      <c r="B904"/>
    </row>
    <row r="905" spans="1:2" ht="16.5" customHeight="1" x14ac:dyDescent="0.3">
      <c r="A905" s="23"/>
      <c r="B905"/>
    </row>
    <row r="906" spans="1:2" ht="16.5" customHeight="1" x14ac:dyDescent="0.3">
      <c r="A906" s="23"/>
      <c r="B906"/>
    </row>
    <row r="907" spans="1:2" ht="16.5" customHeight="1" x14ac:dyDescent="0.3">
      <c r="A907" s="23"/>
      <c r="B907"/>
    </row>
    <row r="908" spans="1:2" ht="16.5" customHeight="1" x14ac:dyDescent="0.3">
      <c r="A908" s="23"/>
      <c r="B908"/>
    </row>
    <row r="909" spans="1:2" ht="16.5" customHeight="1" x14ac:dyDescent="0.3">
      <c r="A909" s="23"/>
      <c r="B909"/>
    </row>
    <row r="910" spans="1:2" ht="16.5" customHeight="1" x14ac:dyDescent="0.3">
      <c r="A910" s="23"/>
      <c r="B910"/>
    </row>
    <row r="911" spans="1:2" ht="16.5" customHeight="1" x14ac:dyDescent="0.3">
      <c r="A911" s="23"/>
      <c r="B911"/>
    </row>
    <row r="912" spans="1:2" ht="16.5" customHeight="1" x14ac:dyDescent="0.3">
      <c r="A912" s="23"/>
      <c r="B912"/>
    </row>
    <row r="913" spans="1:2" ht="16.5" customHeight="1" x14ac:dyDescent="0.3">
      <c r="A913" s="23"/>
      <c r="B913"/>
    </row>
    <row r="914" spans="1:2" ht="16.5" customHeight="1" x14ac:dyDescent="0.3">
      <c r="A914" s="23"/>
      <c r="B914"/>
    </row>
    <row r="915" spans="1:2" ht="16.5" customHeight="1" x14ac:dyDescent="0.3">
      <c r="A915" s="23"/>
      <c r="B915"/>
    </row>
    <row r="916" spans="1:2" ht="16.5" customHeight="1" x14ac:dyDescent="0.3">
      <c r="A916" s="23"/>
      <c r="B916"/>
    </row>
    <row r="917" spans="1:2" ht="16.5" customHeight="1" x14ac:dyDescent="0.3">
      <c r="A917" s="23"/>
      <c r="B917"/>
    </row>
    <row r="918" spans="1:2" ht="16.5" customHeight="1" x14ac:dyDescent="0.3">
      <c r="A918" s="23"/>
      <c r="B918"/>
    </row>
    <row r="919" spans="1:2" ht="16.5" customHeight="1" x14ac:dyDescent="0.3">
      <c r="A919" s="23"/>
      <c r="B919"/>
    </row>
    <row r="920" spans="1:2" ht="16.5" customHeight="1" x14ac:dyDescent="0.3">
      <c r="A920" s="23"/>
      <c r="B920"/>
    </row>
    <row r="921" spans="1:2" ht="16.5" customHeight="1" x14ac:dyDescent="0.3">
      <c r="A921" s="23"/>
      <c r="B921"/>
    </row>
    <row r="922" spans="1:2" ht="16.5" customHeight="1" x14ac:dyDescent="0.3">
      <c r="A922" s="23"/>
      <c r="B922"/>
    </row>
    <row r="923" spans="1:2" ht="16.5" customHeight="1" x14ac:dyDescent="0.3">
      <c r="A923" s="23"/>
      <c r="B923"/>
    </row>
    <row r="924" spans="1:2" ht="16.5" customHeight="1" x14ac:dyDescent="0.3">
      <c r="A924" s="23"/>
      <c r="B924"/>
    </row>
    <row r="925" spans="1:2" ht="16.5" customHeight="1" x14ac:dyDescent="0.3">
      <c r="A925" s="23"/>
      <c r="B925"/>
    </row>
    <row r="926" spans="1:2" ht="16.5" customHeight="1" x14ac:dyDescent="0.3">
      <c r="A926" s="23"/>
      <c r="B926"/>
    </row>
    <row r="927" spans="1:2" ht="16.5" customHeight="1" x14ac:dyDescent="0.3">
      <c r="A927" s="23"/>
      <c r="B927"/>
    </row>
    <row r="928" spans="1:2" ht="16.5" customHeight="1" x14ac:dyDescent="0.3">
      <c r="A928" s="23"/>
      <c r="B928"/>
    </row>
    <row r="929" spans="1:2" ht="16.5" customHeight="1" x14ac:dyDescent="0.3">
      <c r="A929" s="23"/>
      <c r="B929"/>
    </row>
    <row r="930" spans="1:2" ht="16.5" customHeight="1" x14ac:dyDescent="0.3">
      <c r="A930" s="23"/>
      <c r="B930"/>
    </row>
    <row r="931" spans="1:2" ht="16.5" customHeight="1" x14ac:dyDescent="0.3">
      <c r="A931" s="23"/>
      <c r="B931"/>
    </row>
    <row r="932" spans="1:2" ht="16.5" customHeight="1" x14ac:dyDescent="0.3">
      <c r="A932" s="23"/>
      <c r="B932"/>
    </row>
    <row r="933" spans="1:2" ht="16.5" customHeight="1" x14ac:dyDescent="0.3">
      <c r="A933" s="23"/>
      <c r="B933"/>
    </row>
    <row r="934" spans="1:2" ht="16.5" customHeight="1" x14ac:dyDescent="0.3">
      <c r="A934" s="23"/>
      <c r="B934"/>
    </row>
    <row r="935" spans="1:2" ht="16.5" customHeight="1" x14ac:dyDescent="0.3">
      <c r="A935" s="23"/>
      <c r="B935"/>
    </row>
    <row r="936" spans="1:2" ht="16.5" customHeight="1" x14ac:dyDescent="0.3">
      <c r="A936" s="23"/>
      <c r="B936"/>
    </row>
    <row r="937" spans="1:2" ht="16.5" customHeight="1" x14ac:dyDescent="0.3">
      <c r="A937" s="23"/>
      <c r="B937"/>
    </row>
    <row r="938" spans="1:2" ht="16.5" customHeight="1" x14ac:dyDescent="0.3">
      <c r="A938" s="23"/>
      <c r="B938"/>
    </row>
    <row r="939" spans="1:2" ht="16.5" customHeight="1" x14ac:dyDescent="0.3">
      <c r="A939" s="23"/>
      <c r="B939"/>
    </row>
    <row r="940" spans="1:2" ht="16.5" customHeight="1" x14ac:dyDescent="0.3">
      <c r="A940" s="23"/>
      <c r="B940"/>
    </row>
    <row r="941" spans="1:2" ht="16.5" customHeight="1" x14ac:dyDescent="0.3">
      <c r="A941" s="23"/>
      <c r="B941"/>
    </row>
    <row r="942" spans="1:2" ht="16.5" customHeight="1" x14ac:dyDescent="0.3">
      <c r="A942" s="23"/>
      <c r="B942"/>
    </row>
    <row r="943" spans="1:2" ht="16.5" customHeight="1" x14ac:dyDescent="0.3">
      <c r="A943" s="23"/>
      <c r="B943"/>
    </row>
    <row r="944" spans="1:2" ht="16.5" customHeight="1" x14ac:dyDescent="0.3">
      <c r="A944" s="23"/>
      <c r="B944"/>
    </row>
    <row r="945" spans="1:2" ht="16.5" customHeight="1" x14ac:dyDescent="0.3">
      <c r="A945" s="23"/>
      <c r="B945"/>
    </row>
    <row r="946" spans="1:2" ht="16.5" customHeight="1" x14ac:dyDescent="0.3">
      <c r="A946" s="23"/>
      <c r="B946"/>
    </row>
    <row r="947" spans="1:2" ht="16.5" customHeight="1" x14ac:dyDescent="0.3">
      <c r="A947" s="23"/>
      <c r="B947"/>
    </row>
    <row r="948" spans="1:2" ht="16.5" customHeight="1" x14ac:dyDescent="0.3">
      <c r="A948" s="23"/>
      <c r="B948"/>
    </row>
    <row r="949" spans="1:2" ht="16.5" customHeight="1" x14ac:dyDescent="0.3">
      <c r="A949" s="23"/>
      <c r="B949"/>
    </row>
    <row r="950" spans="1:2" ht="16.5" customHeight="1" x14ac:dyDescent="0.3">
      <c r="A950" s="23"/>
      <c r="B950"/>
    </row>
    <row r="951" spans="1:2" ht="16.5" customHeight="1" x14ac:dyDescent="0.3">
      <c r="A951" s="23"/>
      <c r="B951"/>
    </row>
    <row r="952" spans="1:2" ht="16.5" customHeight="1" x14ac:dyDescent="0.3">
      <c r="A952" s="23"/>
      <c r="B952"/>
    </row>
    <row r="953" spans="1:2" ht="16.5" customHeight="1" x14ac:dyDescent="0.3">
      <c r="A953" s="23"/>
      <c r="B953"/>
    </row>
    <row r="954" spans="1:2" ht="16.5" customHeight="1" x14ac:dyDescent="0.3">
      <c r="A954" s="23"/>
      <c r="B954"/>
    </row>
    <row r="955" spans="1:2" ht="16.5" customHeight="1" x14ac:dyDescent="0.3">
      <c r="A955" s="23"/>
      <c r="B955"/>
    </row>
    <row r="956" spans="1:2" ht="16.5" customHeight="1" x14ac:dyDescent="0.3">
      <c r="A956" s="23"/>
      <c r="B956"/>
    </row>
    <row r="957" spans="1:2" ht="16.5" customHeight="1" x14ac:dyDescent="0.3">
      <c r="A957" s="23"/>
      <c r="B957"/>
    </row>
    <row r="958" spans="1:2" ht="16.5" customHeight="1" x14ac:dyDescent="0.3">
      <c r="A958" s="23"/>
      <c r="B958"/>
    </row>
    <row r="959" spans="1:2" ht="16.5" customHeight="1" x14ac:dyDescent="0.3">
      <c r="A959" s="23"/>
      <c r="B959"/>
    </row>
    <row r="960" spans="1:2" ht="16.5" customHeight="1" x14ac:dyDescent="0.3">
      <c r="A960" s="23"/>
      <c r="B960"/>
    </row>
    <row r="961" spans="1:2" ht="16.5" customHeight="1" x14ac:dyDescent="0.3">
      <c r="A961" s="23"/>
      <c r="B961"/>
    </row>
    <row r="962" spans="1:2" ht="16.5" customHeight="1" x14ac:dyDescent="0.3">
      <c r="A962" s="23"/>
      <c r="B962"/>
    </row>
    <row r="963" spans="1:2" ht="16.5" customHeight="1" x14ac:dyDescent="0.3">
      <c r="A963" s="23"/>
      <c r="B963"/>
    </row>
    <row r="964" spans="1:2" ht="16.5" customHeight="1" x14ac:dyDescent="0.3">
      <c r="A964" s="23"/>
      <c r="B964"/>
    </row>
    <row r="965" spans="1:2" ht="16.5" customHeight="1" x14ac:dyDescent="0.3">
      <c r="A965" s="23"/>
      <c r="B965"/>
    </row>
    <row r="966" spans="1:2" ht="16.5" customHeight="1" x14ac:dyDescent="0.3">
      <c r="A966" s="23"/>
      <c r="B966"/>
    </row>
    <row r="967" spans="1:2" ht="16.5" customHeight="1" x14ac:dyDescent="0.3">
      <c r="A967" s="23"/>
      <c r="B967"/>
    </row>
    <row r="968" spans="1:2" ht="16.5" customHeight="1" x14ac:dyDescent="0.3">
      <c r="A968" s="23"/>
      <c r="B968"/>
    </row>
    <row r="969" spans="1:2" ht="16.5" customHeight="1" x14ac:dyDescent="0.3">
      <c r="A969" s="23"/>
      <c r="B969"/>
    </row>
    <row r="970" spans="1:2" ht="16.5" customHeight="1" x14ac:dyDescent="0.3">
      <c r="A970" s="23"/>
      <c r="B970"/>
    </row>
    <row r="971" spans="1:2" ht="16.5" customHeight="1" x14ac:dyDescent="0.3">
      <c r="A971" s="23"/>
      <c r="B971"/>
    </row>
    <row r="972" spans="1:2" ht="16.5" customHeight="1" x14ac:dyDescent="0.3">
      <c r="A972" s="23"/>
      <c r="B972"/>
    </row>
    <row r="973" spans="1:2" ht="16.5" customHeight="1" x14ac:dyDescent="0.3">
      <c r="A973" s="23"/>
      <c r="B973"/>
    </row>
    <row r="974" spans="1:2" ht="16.5" customHeight="1" x14ac:dyDescent="0.3">
      <c r="A974" s="23"/>
      <c r="B974"/>
    </row>
    <row r="975" spans="1:2" ht="16.5" customHeight="1" x14ac:dyDescent="0.3">
      <c r="A975" s="23"/>
      <c r="B975"/>
    </row>
    <row r="976" spans="1:2" ht="16.5" customHeight="1" x14ac:dyDescent="0.3">
      <c r="A976" s="23"/>
      <c r="B976"/>
    </row>
    <row r="977" spans="1:2" ht="16.5" customHeight="1" x14ac:dyDescent="0.3">
      <c r="A977" s="23"/>
      <c r="B977"/>
    </row>
    <row r="978" spans="1:2" ht="16.5" customHeight="1" x14ac:dyDescent="0.3">
      <c r="A978" s="23"/>
      <c r="B978"/>
    </row>
    <row r="979" spans="1:2" ht="16.5" customHeight="1" x14ac:dyDescent="0.3">
      <c r="A979" s="23"/>
      <c r="B979"/>
    </row>
    <row r="980" spans="1:2" ht="16.5" customHeight="1" x14ac:dyDescent="0.3">
      <c r="A980" s="23"/>
      <c r="B980"/>
    </row>
    <row r="981" spans="1:2" ht="16.5" customHeight="1" x14ac:dyDescent="0.3">
      <c r="A981" s="23"/>
      <c r="B981"/>
    </row>
    <row r="982" spans="1:2" ht="16.5" customHeight="1" x14ac:dyDescent="0.3">
      <c r="A982" s="23"/>
      <c r="B982"/>
    </row>
    <row r="983" spans="1:2" ht="16.5" customHeight="1" x14ac:dyDescent="0.3">
      <c r="A983" s="23"/>
      <c r="B983"/>
    </row>
    <row r="984" spans="1:2" ht="16.5" customHeight="1" x14ac:dyDescent="0.3">
      <c r="A984" s="23"/>
      <c r="B984"/>
    </row>
    <row r="985" spans="1:2" ht="16.5" customHeight="1" x14ac:dyDescent="0.3">
      <c r="A985" s="23"/>
      <c r="B985"/>
    </row>
    <row r="986" spans="1:2" ht="16.5" customHeight="1" x14ac:dyDescent="0.3">
      <c r="A986" s="23"/>
      <c r="B986"/>
    </row>
    <row r="987" spans="1:2" ht="16.5" customHeight="1" x14ac:dyDescent="0.3">
      <c r="A987" s="23"/>
      <c r="B987"/>
    </row>
    <row r="988" spans="1:2" ht="16.5" customHeight="1" x14ac:dyDescent="0.3">
      <c r="A988" s="23"/>
      <c r="B988"/>
    </row>
    <row r="989" spans="1:2" ht="16.5" customHeight="1" x14ac:dyDescent="0.3">
      <c r="A989" s="23"/>
      <c r="B989"/>
    </row>
    <row r="990" spans="1:2" ht="16.5" customHeight="1" x14ac:dyDescent="0.3">
      <c r="A990" s="23"/>
      <c r="B990"/>
    </row>
    <row r="991" spans="1:2" ht="16.5" customHeight="1" x14ac:dyDescent="0.3">
      <c r="A991" s="23"/>
      <c r="B991"/>
    </row>
    <row r="992" spans="1:2" ht="16.5" customHeight="1" x14ac:dyDescent="0.3">
      <c r="A992" s="23"/>
      <c r="B992"/>
    </row>
    <row r="993" spans="1:2" ht="16.5" customHeight="1" x14ac:dyDescent="0.3">
      <c r="A993" s="23"/>
      <c r="B993"/>
    </row>
    <row r="994" spans="1:2" ht="16.5" customHeight="1" x14ac:dyDescent="0.3">
      <c r="A994" s="23"/>
      <c r="B994"/>
    </row>
    <row r="995" spans="1:2" ht="16.5" customHeight="1" x14ac:dyDescent="0.3">
      <c r="A995" s="23"/>
      <c r="B995"/>
    </row>
    <row r="996" spans="1:2" ht="16.5" customHeight="1" x14ac:dyDescent="0.3">
      <c r="A996" s="23"/>
      <c r="B996"/>
    </row>
    <row r="997" spans="1:2" ht="16.5" customHeight="1" x14ac:dyDescent="0.3">
      <c r="A997" s="23"/>
      <c r="B997"/>
    </row>
    <row r="998" spans="1:2" ht="16.5" customHeight="1" x14ac:dyDescent="0.3">
      <c r="A998" s="23"/>
      <c r="B998"/>
    </row>
    <row r="999" spans="1:2" ht="16.5" customHeight="1" x14ac:dyDescent="0.3">
      <c r="A999" s="23"/>
      <c r="B999"/>
    </row>
    <row r="1000" spans="1:2" ht="16.5" customHeight="1" x14ac:dyDescent="0.3">
      <c r="A1000" s="23"/>
      <c r="B1000"/>
    </row>
    <row r="1001" spans="1:2" ht="16.5" customHeight="1" x14ac:dyDescent="0.3">
      <c r="A1001" s="23"/>
      <c r="B1001"/>
    </row>
    <row r="1002" spans="1:2" ht="16.5" customHeight="1" x14ac:dyDescent="0.3">
      <c r="A1002" s="23"/>
      <c r="B1002"/>
    </row>
    <row r="1003" spans="1:2" ht="16.5" customHeight="1" x14ac:dyDescent="0.3">
      <c r="A1003" s="23"/>
      <c r="B1003"/>
    </row>
    <row r="1004" spans="1:2" ht="16.5" customHeight="1" x14ac:dyDescent="0.3">
      <c r="A1004" s="23"/>
      <c r="B1004"/>
    </row>
    <row r="1005" spans="1:2" ht="16.5" customHeight="1" x14ac:dyDescent="0.3">
      <c r="A1005" s="23"/>
      <c r="B1005"/>
    </row>
    <row r="1006" spans="1:2" ht="16.5" customHeight="1" x14ac:dyDescent="0.3">
      <c r="A1006" s="23"/>
      <c r="B1006"/>
    </row>
    <row r="1007" spans="1:2" ht="16.5" customHeight="1" x14ac:dyDescent="0.3">
      <c r="A1007" s="23"/>
      <c r="B1007"/>
    </row>
    <row r="1008" spans="1:2" ht="16.5" customHeight="1" x14ac:dyDescent="0.3">
      <c r="A1008" s="23"/>
      <c r="B1008"/>
    </row>
    <row r="1009" spans="1:2" ht="16.5" customHeight="1" x14ac:dyDescent="0.3">
      <c r="A1009" s="23"/>
      <c r="B1009"/>
    </row>
    <row r="1010" spans="1:2" ht="16.5" customHeight="1" x14ac:dyDescent="0.3">
      <c r="A1010" s="23"/>
      <c r="B1010"/>
    </row>
    <row r="1011" spans="1:2" ht="16.5" customHeight="1" x14ac:dyDescent="0.3">
      <c r="A1011" s="23"/>
      <c r="B1011"/>
    </row>
    <row r="1012" spans="1:2" ht="16.5" customHeight="1" x14ac:dyDescent="0.3">
      <c r="A1012" s="23"/>
      <c r="B1012"/>
    </row>
    <row r="1013" spans="1:2" ht="16.5" customHeight="1" x14ac:dyDescent="0.3">
      <c r="A1013" s="23"/>
      <c r="B1013"/>
    </row>
    <row r="1014" spans="1:2" ht="16.5" customHeight="1" x14ac:dyDescent="0.3">
      <c r="A1014" s="23"/>
      <c r="B1014"/>
    </row>
    <row r="1015" spans="1:2" ht="16.5" customHeight="1" x14ac:dyDescent="0.3">
      <c r="A1015" s="23"/>
      <c r="B1015"/>
    </row>
    <row r="1016" spans="1:2" ht="16.5" customHeight="1" x14ac:dyDescent="0.3">
      <c r="A1016" s="23"/>
      <c r="B1016"/>
    </row>
    <row r="1017" spans="1:2" ht="16.5" customHeight="1" x14ac:dyDescent="0.3">
      <c r="A1017" s="23"/>
      <c r="B1017"/>
    </row>
    <row r="1018" spans="1:2" ht="16.5" customHeight="1" x14ac:dyDescent="0.3">
      <c r="A1018" s="23"/>
      <c r="B1018"/>
    </row>
    <row r="1019" spans="1:2" ht="16.5" customHeight="1" x14ac:dyDescent="0.3">
      <c r="A1019" s="23"/>
      <c r="B1019"/>
    </row>
    <row r="1020" spans="1:2" ht="16.5" customHeight="1" x14ac:dyDescent="0.3">
      <c r="A1020" s="23"/>
      <c r="B1020"/>
    </row>
    <row r="1021" spans="1:2" ht="16.5" customHeight="1" x14ac:dyDescent="0.3">
      <c r="A1021" s="23"/>
      <c r="B1021"/>
    </row>
    <row r="1022" spans="1:2" ht="16.5" customHeight="1" x14ac:dyDescent="0.3">
      <c r="A1022" s="23"/>
      <c r="B1022"/>
    </row>
    <row r="1023" spans="1:2" ht="16.5" customHeight="1" x14ac:dyDescent="0.3">
      <c r="A1023" s="23"/>
      <c r="B1023"/>
    </row>
    <row r="1024" spans="1:2" ht="16.5" customHeight="1" x14ac:dyDescent="0.3">
      <c r="A1024" s="23"/>
      <c r="B1024"/>
    </row>
    <row r="1025" spans="1:2" ht="16.5" customHeight="1" x14ac:dyDescent="0.3">
      <c r="A1025" s="23"/>
      <c r="B1025"/>
    </row>
    <row r="1026" spans="1:2" ht="16.5" customHeight="1" x14ac:dyDescent="0.3">
      <c r="A1026" s="23"/>
      <c r="B1026"/>
    </row>
    <row r="1027" spans="1:2" ht="16.5" customHeight="1" x14ac:dyDescent="0.3">
      <c r="A1027" s="23"/>
      <c r="B1027"/>
    </row>
    <row r="1028" spans="1:2" ht="16.5" customHeight="1" x14ac:dyDescent="0.3">
      <c r="A1028" s="23"/>
      <c r="B1028"/>
    </row>
    <row r="1029" spans="1:2" ht="16.5" customHeight="1" x14ac:dyDescent="0.3">
      <c r="A1029" s="23"/>
      <c r="B1029"/>
    </row>
    <row r="1030" spans="1:2" ht="16.5" customHeight="1" x14ac:dyDescent="0.3">
      <c r="A1030" s="23"/>
      <c r="B1030"/>
    </row>
    <row r="1031" spans="1:2" ht="16.5" customHeight="1" x14ac:dyDescent="0.3">
      <c r="A1031" s="23"/>
      <c r="B1031"/>
    </row>
    <row r="1032" spans="1:2" ht="16.5" customHeight="1" x14ac:dyDescent="0.3">
      <c r="A1032" s="23"/>
      <c r="B1032"/>
    </row>
    <row r="1033" spans="1:2" ht="16.5" customHeight="1" x14ac:dyDescent="0.3">
      <c r="A1033" s="23"/>
      <c r="B1033"/>
    </row>
    <row r="1034" spans="1:2" ht="16.5" customHeight="1" x14ac:dyDescent="0.3">
      <c r="A1034" s="23"/>
      <c r="B1034"/>
    </row>
    <row r="1035" spans="1:2" ht="16.5" customHeight="1" x14ac:dyDescent="0.3">
      <c r="A1035" s="23"/>
      <c r="B1035"/>
    </row>
    <row r="1036" spans="1:2" ht="16.5" customHeight="1" x14ac:dyDescent="0.3">
      <c r="A1036" s="23"/>
      <c r="B1036"/>
    </row>
    <row r="1037" spans="1:2" ht="16.5" customHeight="1" x14ac:dyDescent="0.3">
      <c r="A1037" s="23"/>
      <c r="B1037"/>
    </row>
    <row r="1038" spans="1:2" ht="16.5" customHeight="1" x14ac:dyDescent="0.3">
      <c r="A1038" s="23"/>
      <c r="B1038"/>
    </row>
    <row r="1039" spans="1:2" ht="16.5" customHeight="1" x14ac:dyDescent="0.3">
      <c r="A1039" s="23"/>
      <c r="B1039"/>
    </row>
    <row r="1040" spans="1:2" ht="16.5" customHeight="1" x14ac:dyDescent="0.3">
      <c r="A1040" s="23"/>
      <c r="B1040"/>
    </row>
    <row r="1041" spans="1:2" ht="16.5" customHeight="1" x14ac:dyDescent="0.3">
      <c r="A1041" s="23"/>
      <c r="B1041"/>
    </row>
    <row r="1042" spans="1:2" ht="16.5" customHeight="1" x14ac:dyDescent="0.3">
      <c r="A1042" s="23"/>
      <c r="B1042"/>
    </row>
    <row r="1043" spans="1:2" ht="16.5" customHeight="1" x14ac:dyDescent="0.3">
      <c r="A1043" s="23"/>
      <c r="B1043"/>
    </row>
    <row r="1044" spans="1:2" ht="16.5" customHeight="1" x14ac:dyDescent="0.3">
      <c r="A1044" s="23"/>
      <c r="B1044"/>
    </row>
    <row r="1045" spans="1:2" ht="16.5" customHeight="1" x14ac:dyDescent="0.3">
      <c r="A1045" s="23"/>
      <c r="B1045"/>
    </row>
    <row r="1046" spans="1:2" ht="16.5" customHeight="1" x14ac:dyDescent="0.3">
      <c r="A1046" s="23"/>
      <c r="B1046"/>
    </row>
    <row r="1047" spans="1:2" ht="16.5" customHeight="1" x14ac:dyDescent="0.3">
      <c r="A1047" s="23"/>
      <c r="B1047"/>
    </row>
    <row r="1048" spans="1:2" ht="16.5" customHeight="1" x14ac:dyDescent="0.3">
      <c r="A1048" s="23"/>
      <c r="B1048"/>
    </row>
    <row r="1049" spans="1:2" ht="16.5" customHeight="1" x14ac:dyDescent="0.3">
      <c r="A1049" s="23"/>
      <c r="B1049"/>
    </row>
    <row r="1050" spans="1:2" ht="16.5" customHeight="1" x14ac:dyDescent="0.3">
      <c r="A1050" s="23"/>
      <c r="B1050"/>
    </row>
    <row r="1051" spans="1:2" ht="16.5" customHeight="1" x14ac:dyDescent="0.3">
      <c r="A1051" s="23"/>
      <c r="B1051"/>
    </row>
    <row r="1052" spans="1:2" ht="16.5" customHeight="1" x14ac:dyDescent="0.3">
      <c r="A1052" s="23"/>
      <c r="B1052"/>
    </row>
    <row r="1053" spans="1:2" ht="16.5" customHeight="1" x14ac:dyDescent="0.3">
      <c r="A1053" s="23"/>
      <c r="B1053"/>
    </row>
    <row r="1054" spans="1:2" ht="16.5" customHeight="1" x14ac:dyDescent="0.3">
      <c r="A1054" s="23"/>
      <c r="B1054"/>
    </row>
    <row r="1055" spans="1:2" ht="16.5" customHeight="1" x14ac:dyDescent="0.3">
      <c r="A1055" s="23"/>
      <c r="B1055"/>
    </row>
    <row r="1056" spans="1:2" ht="16.5" customHeight="1" x14ac:dyDescent="0.3">
      <c r="A1056" s="23"/>
      <c r="B1056"/>
    </row>
    <row r="1057" spans="1:2" ht="16.5" customHeight="1" x14ac:dyDescent="0.3">
      <c r="A1057" s="23"/>
      <c r="B1057"/>
    </row>
    <row r="1058" spans="1:2" ht="16.5" customHeight="1" x14ac:dyDescent="0.3">
      <c r="A1058" s="23"/>
      <c r="B1058"/>
    </row>
    <row r="1059" spans="1:2" ht="16.5" customHeight="1" x14ac:dyDescent="0.3">
      <c r="A1059" s="23"/>
      <c r="B1059"/>
    </row>
    <row r="1060" spans="1:2" ht="16.5" customHeight="1" x14ac:dyDescent="0.3">
      <c r="A1060" s="23"/>
      <c r="B1060"/>
    </row>
    <row r="1061" spans="1:2" ht="16.5" customHeight="1" x14ac:dyDescent="0.3">
      <c r="A1061" s="23"/>
      <c r="B1061"/>
    </row>
    <row r="1062" spans="1:2" ht="16.5" customHeight="1" x14ac:dyDescent="0.3">
      <c r="A1062" s="23"/>
      <c r="B1062"/>
    </row>
    <row r="1063" spans="1:2" ht="16.5" customHeight="1" x14ac:dyDescent="0.3">
      <c r="A1063" s="23"/>
      <c r="B1063"/>
    </row>
    <row r="1064" spans="1:2" ht="16.5" customHeight="1" x14ac:dyDescent="0.3">
      <c r="A1064" s="23"/>
      <c r="B1064"/>
    </row>
    <row r="1065" spans="1:2" ht="16.5" customHeight="1" x14ac:dyDescent="0.3">
      <c r="A1065" s="23"/>
      <c r="B1065"/>
    </row>
    <row r="1066" spans="1:2" ht="16.5" customHeight="1" x14ac:dyDescent="0.3">
      <c r="A1066" s="23"/>
      <c r="B1066"/>
    </row>
    <row r="1067" spans="1:2" ht="16.5" customHeight="1" x14ac:dyDescent="0.3">
      <c r="A1067" s="23"/>
      <c r="B1067"/>
    </row>
    <row r="1068" spans="1:2" ht="16.5" customHeight="1" x14ac:dyDescent="0.3">
      <c r="A1068" s="23"/>
      <c r="B1068"/>
    </row>
    <row r="1069" spans="1:2" ht="16.5" customHeight="1" x14ac:dyDescent="0.3">
      <c r="A1069" s="23"/>
      <c r="B1069"/>
    </row>
    <row r="1070" spans="1:2" ht="16.5" customHeight="1" x14ac:dyDescent="0.3">
      <c r="A1070" s="23"/>
      <c r="B1070"/>
    </row>
    <row r="1071" spans="1:2" ht="16.5" customHeight="1" x14ac:dyDescent="0.3">
      <c r="A1071" s="23"/>
      <c r="B1071"/>
    </row>
    <row r="1072" spans="1:2" ht="16.5" customHeight="1" x14ac:dyDescent="0.3">
      <c r="A1072" s="23"/>
      <c r="B1072"/>
    </row>
    <row r="1073" spans="1:2" ht="16.5" customHeight="1" x14ac:dyDescent="0.3">
      <c r="A1073" s="23"/>
      <c r="B1073"/>
    </row>
    <row r="1074" spans="1:2" ht="16.5" customHeight="1" x14ac:dyDescent="0.3">
      <c r="A1074" s="23"/>
      <c r="B1074"/>
    </row>
    <row r="1075" spans="1:2" ht="16.5" customHeight="1" x14ac:dyDescent="0.3">
      <c r="A1075" s="23"/>
      <c r="B1075"/>
    </row>
    <row r="1076" spans="1:2" ht="16.5" customHeight="1" x14ac:dyDescent="0.3">
      <c r="A1076" s="23"/>
      <c r="B1076"/>
    </row>
    <row r="1077" spans="1:2" ht="16.5" customHeight="1" x14ac:dyDescent="0.3">
      <c r="A1077" s="23"/>
      <c r="B1077"/>
    </row>
    <row r="1078" spans="1:2" ht="16.5" customHeight="1" x14ac:dyDescent="0.3">
      <c r="A1078" s="23"/>
      <c r="B1078"/>
    </row>
    <row r="1079" spans="1:2" ht="16.5" customHeight="1" x14ac:dyDescent="0.3">
      <c r="A1079" s="23"/>
      <c r="B1079"/>
    </row>
    <row r="1080" spans="1:2" ht="16.5" customHeight="1" x14ac:dyDescent="0.3">
      <c r="A1080" s="23"/>
      <c r="B1080"/>
    </row>
    <row r="1081" spans="1:2" ht="16.5" customHeight="1" x14ac:dyDescent="0.3">
      <c r="A1081" s="23"/>
      <c r="B1081"/>
    </row>
    <row r="1082" spans="1:2" ht="16.5" customHeight="1" x14ac:dyDescent="0.3">
      <c r="A1082" s="23"/>
      <c r="B1082"/>
    </row>
    <row r="1083" spans="1:2" ht="16.5" customHeight="1" x14ac:dyDescent="0.3">
      <c r="A1083" s="23"/>
      <c r="B1083"/>
    </row>
    <row r="1084" spans="1:2" ht="16.5" customHeight="1" x14ac:dyDescent="0.3">
      <c r="A1084" s="23"/>
      <c r="B1084"/>
    </row>
    <row r="1085" spans="1:2" ht="16.5" customHeight="1" x14ac:dyDescent="0.3">
      <c r="A1085" s="23"/>
      <c r="B1085"/>
    </row>
    <row r="1086" spans="1:2" ht="16.5" customHeight="1" x14ac:dyDescent="0.3">
      <c r="A1086" s="23"/>
      <c r="B1086"/>
    </row>
    <row r="1087" spans="1:2" ht="16.5" customHeight="1" x14ac:dyDescent="0.3">
      <c r="A1087" s="23"/>
      <c r="B1087"/>
    </row>
    <row r="1088" spans="1:2" ht="16.5" customHeight="1" x14ac:dyDescent="0.3">
      <c r="A1088" s="23"/>
      <c r="B1088"/>
    </row>
    <row r="1089" spans="1:2" ht="16.5" customHeight="1" x14ac:dyDescent="0.3">
      <c r="A1089" s="23"/>
      <c r="B1089"/>
    </row>
    <row r="1090" spans="1:2" ht="16.5" customHeight="1" x14ac:dyDescent="0.3">
      <c r="A1090" s="23"/>
      <c r="B1090"/>
    </row>
    <row r="1091" spans="1:2" ht="16.5" customHeight="1" x14ac:dyDescent="0.3">
      <c r="A1091" s="23"/>
      <c r="B1091"/>
    </row>
    <row r="1092" spans="1:2" ht="16.5" customHeight="1" x14ac:dyDescent="0.3">
      <c r="A1092" s="23"/>
      <c r="B1092"/>
    </row>
    <row r="1093" spans="1:2" ht="16.5" customHeight="1" x14ac:dyDescent="0.3">
      <c r="A1093" s="23"/>
      <c r="B1093"/>
    </row>
    <row r="1094" spans="1:2" ht="16.5" customHeight="1" x14ac:dyDescent="0.3">
      <c r="A1094" s="23"/>
      <c r="B1094"/>
    </row>
    <row r="1095" spans="1:2" ht="16.5" customHeight="1" x14ac:dyDescent="0.3">
      <c r="A1095" s="23"/>
      <c r="B1095"/>
    </row>
    <row r="1096" spans="1:2" ht="16.5" customHeight="1" x14ac:dyDescent="0.3">
      <c r="A1096" s="23"/>
      <c r="B1096"/>
    </row>
    <row r="1097" spans="1:2" ht="16.5" customHeight="1" x14ac:dyDescent="0.3">
      <c r="A1097" s="23"/>
      <c r="B1097"/>
    </row>
    <row r="1098" spans="1:2" ht="16.5" customHeight="1" x14ac:dyDescent="0.3">
      <c r="A1098" s="23"/>
      <c r="B1098"/>
    </row>
    <row r="1099" spans="1:2" ht="16.5" customHeight="1" x14ac:dyDescent="0.3">
      <c r="A1099" s="23"/>
      <c r="B1099"/>
    </row>
    <row r="1100" spans="1:2" ht="16.5" customHeight="1" x14ac:dyDescent="0.3">
      <c r="A1100" s="23"/>
      <c r="B1100"/>
    </row>
    <row r="1101" spans="1:2" ht="16.5" customHeight="1" x14ac:dyDescent="0.3">
      <c r="A1101" s="23"/>
      <c r="B1101"/>
    </row>
    <row r="1102" spans="1:2" ht="16.5" customHeight="1" x14ac:dyDescent="0.3">
      <c r="A1102" s="23"/>
      <c r="B1102"/>
    </row>
    <row r="1103" spans="1:2" ht="16.5" customHeight="1" x14ac:dyDescent="0.3">
      <c r="A1103" s="23"/>
      <c r="B1103"/>
    </row>
    <row r="1104" spans="1:2" ht="16.5" customHeight="1" x14ac:dyDescent="0.3">
      <c r="A1104" s="23"/>
      <c r="B1104"/>
    </row>
    <row r="1105" spans="1:2" ht="16.5" customHeight="1" x14ac:dyDescent="0.3">
      <c r="A1105" s="23"/>
      <c r="B1105"/>
    </row>
    <row r="1106" spans="1:2" ht="16.5" customHeight="1" x14ac:dyDescent="0.3">
      <c r="A1106" s="23"/>
      <c r="B1106"/>
    </row>
    <row r="1107" spans="1:2" ht="16.5" customHeight="1" x14ac:dyDescent="0.3">
      <c r="A1107" s="23"/>
      <c r="B1107"/>
    </row>
    <row r="1108" spans="1:2" ht="16.5" customHeight="1" x14ac:dyDescent="0.3">
      <c r="A1108" s="23"/>
      <c r="B1108"/>
    </row>
    <row r="1109" spans="1:2" ht="16.5" customHeight="1" x14ac:dyDescent="0.3">
      <c r="A1109" s="23"/>
      <c r="B1109"/>
    </row>
    <row r="1110" spans="1:2" ht="16.5" customHeight="1" x14ac:dyDescent="0.3">
      <c r="A1110" s="23"/>
      <c r="B1110"/>
    </row>
    <row r="1111" spans="1:2" ht="16.5" customHeight="1" x14ac:dyDescent="0.3">
      <c r="A1111" s="23"/>
      <c r="B1111"/>
    </row>
    <row r="1112" spans="1:2" ht="16.5" customHeight="1" x14ac:dyDescent="0.3">
      <c r="A1112" s="23"/>
      <c r="B1112"/>
    </row>
    <row r="1113" spans="1:2" ht="16.5" customHeight="1" x14ac:dyDescent="0.3">
      <c r="A1113" s="23"/>
      <c r="B1113"/>
    </row>
    <row r="1114" spans="1:2" ht="16.5" customHeight="1" x14ac:dyDescent="0.3">
      <c r="A1114" s="23"/>
      <c r="B1114"/>
    </row>
    <row r="1115" spans="1:2" ht="16.5" customHeight="1" x14ac:dyDescent="0.3">
      <c r="A1115" s="23"/>
      <c r="B1115"/>
    </row>
    <row r="1116" spans="1:2" ht="16.5" customHeight="1" x14ac:dyDescent="0.3">
      <c r="A1116" s="23"/>
      <c r="B1116"/>
    </row>
    <row r="1117" spans="1:2" ht="16.5" customHeight="1" x14ac:dyDescent="0.3">
      <c r="A1117" s="23"/>
      <c r="B1117"/>
    </row>
    <row r="1118" spans="1:2" ht="16.5" customHeight="1" x14ac:dyDescent="0.3">
      <c r="A1118" s="23"/>
      <c r="B1118"/>
    </row>
    <row r="1119" spans="1:2" ht="16.5" customHeight="1" x14ac:dyDescent="0.3">
      <c r="A1119" s="23"/>
      <c r="B1119"/>
    </row>
    <row r="1120" spans="1:2" ht="16.5" customHeight="1" x14ac:dyDescent="0.3">
      <c r="A1120" s="23"/>
      <c r="B1120"/>
    </row>
    <row r="1121" spans="1:2" ht="16.5" customHeight="1" x14ac:dyDescent="0.3">
      <c r="A1121" s="23"/>
      <c r="B1121"/>
    </row>
    <row r="1122" spans="1:2" ht="16.5" customHeight="1" x14ac:dyDescent="0.3">
      <c r="A1122" s="23"/>
      <c r="B1122"/>
    </row>
    <row r="1123" spans="1:2" ht="16.5" customHeight="1" x14ac:dyDescent="0.3">
      <c r="A1123" s="23"/>
      <c r="B1123"/>
    </row>
    <row r="1124" spans="1:2" ht="16.5" customHeight="1" x14ac:dyDescent="0.3">
      <c r="A1124" s="23"/>
      <c r="B1124"/>
    </row>
    <row r="1125" spans="1:2" ht="16.5" customHeight="1" x14ac:dyDescent="0.3">
      <c r="A1125" s="23"/>
      <c r="B1125"/>
    </row>
    <row r="1126" spans="1:2" ht="16.5" customHeight="1" x14ac:dyDescent="0.3">
      <c r="A1126" s="23"/>
      <c r="B1126"/>
    </row>
    <row r="1127" spans="1:2" ht="16.5" customHeight="1" x14ac:dyDescent="0.3">
      <c r="A1127" s="23"/>
      <c r="B1127"/>
    </row>
    <row r="1128" spans="1:2" ht="16.5" customHeight="1" x14ac:dyDescent="0.3">
      <c r="A1128" s="23"/>
      <c r="B1128"/>
    </row>
    <row r="1129" spans="1:2" ht="16.5" customHeight="1" x14ac:dyDescent="0.3">
      <c r="A1129" s="23"/>
      <c r="B1129"/>
    </row>
    <row r="1130" spans="1:2" ht="16.5" customHeight="1" x14ac:dyDescent="0.3">
      <c r="A1130" s="23"/>
      <c r="B1130"/>
    </row>
    <row r="1131" spans="1:2" ht="16.5" customHeight="1" x14ac:dyDescent="0.3">
      <c r="A1131" s="23"/>
      <c r="B1131"/>
    </row>
    <row r="1132" spans="1:2" ht="16.5" customHeight="1" x14ac:dyDescent="0.3">
      <c r="A1132" s="23"/>
      <c r="B1132"/>
    </row>
    <row r="1133" spans="1:2" ht="16.5" customHeight="1" x14ac:dyDescent="0.3">
      <c r="A1133" s="23"/>
      <c r="B1133"/>
    </row>
    <row r="1134" spans="1:2" ht="16.5" customHeight="1" x14ac:dyDescent="0.3">
      <c r="A1134" s="23"/>
      <c r="B1134"/>
    </row>
    <row r="1135" spans="1:2" ht="16.5" customHeight="1" x14ac:dyDescent="0.3">
      <c r="A1135" s="23"/>
      <c r="B1135"/>
    </row>
    <row r="1136" spans="1:2" ht="16.5" customHeight="1" x14ac:dyDescent="0.3">
      <c r="A1136" s="23"/>
      <c r="B1136"/>
    </row>
    <row r="1137" spans="1:2" ht="16.5" customHeight="1" x14ac:dyDescent="0.3">
      <c r="A1137" s="23"/>
      <c r="B1137"/>
    </row>
    <row r="1138" spans="1:2" ht="16.5" customHeight="1" x14ac:dyDescent="0.3">
      <c r="A1138" s="23"/>
      <c r="B1138"/>
    </row>
    <row r="1139" spans="1:2" ht="16.5" customHeight="1" x14ac:dyDescent="0.3">
      <c r="A1139" s="23"/>
      <c r="B1139"/>
    </row>
    <row r="1140" spans="1:2" ht="16.5" customHeight="1" x14ac:dyDescent="0.3">
      <c r="A1140" s="23"/>
      <c r="B1140"/>
    </row>
    <row r="1141" spans="1:2" ht="16.5" customHeight="1" x14ac:dyDescent="0.3">
      <c r="A1141" s="23"/>
      <c r="B1141"/>
    </row>
    <row r="1142" spans="1:2" ht="16.5" customHeight="1" x14ac:dyDescent="0.3">
      <c r="A1142" s="23"/>
      <c r="B1142"/>
    </row>
    <row r="1143" spans="1:2" ht="16.5" customHeight="1" x14ac:dyDescent="0.3">
      <c r="A1143" s="23"/>
      <c r="B1143"/>
    </row>
    <row r="1144" spans="1:2" ht="16.5" customHeight="1" x14ac:dyDescent="0.3">
      <c r="A1144" s="23"/>
      <c r="B1144"/>
    </row>
    <row r="1145" spans="1:2" ht="16.5" customHeight="1" x14ac:dyDescent="0.3">
      <c r="A1145" s="23"/>
      <c r="B1145"/>
    </row>
    <row r="1146" spans="1:2" ht="16.5" customHeight="1" x14ac:dyDescent="0.3">
      <c r="A1146" s="23"/>
      <c r="B1146"/>
    </row>
    <row r="1147" spans="1:2" ht="16.5" customHeight="1" x14ac:dyDescent="0.3">
      <c r="A1147" s="23"/>
      <c r="B1147"/>
    </row>
    <row r="1148" spans="1:2" ht="16.5" customHeight="1" x14ac:dyDescent="0.3">
      <c r="A1148" s="23"/>
      <c r="B1148"/>
    </row>
    <row r="1149" spans="1:2" ht="16.5" customHeight="1" x14ac:dyDescent="0.3">
      <c r="A1149" s="23"/>
      <c r="B1149"/>
    </row>
    <row r="1150" spans="1:2" ht="16.5" customHeight="1" x14ac:dyDescent="0.3">
      <c r="A1150" s="23"/>
      <c r="B1150"/>
    </row>
    <row r="1151" spans="1:2" ht="16.5" customHeight="1" x14ac:dyDescent="0.3">
      <c r="A1151" s="23"/>
      <c r="B1151"/>
    </row>
    <row r="1152" spans="1:2" ht="16.5" customHeight="1" x14ac:dyDescent="0.3">
      <c r="A1152" s="23"/>
      <c r="B1152"/>
    </row>
  </sheetData>
  <printOptions gridLines="1"/>
  <pageMargins left="0.7" right="0.7" top="0.75" bottom="0.75" header="0.3" footer="0.3"/>
  <pageSetup scale="1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713D-E318-455E-ADFD-BE8E5537E0D8}">
  <sheetPr>
    <pageSetUpPr fitToPage="1"/>
  </sheetPr>
  <dimension ref="A1:I1152"/>
  <sheetViews>
    <sheetView topLeftCell="A51" zoomScale="90" zoomScaleNormal="90" workbookViewId="0">
      <selection activeCell="D5" sqref="D5:D53"/>
    </sheetView>
  </sheetViews>
  <sheetFormatPr defaultColWidth="9.1796875" defaultRowHeight="13" x14ac:dyDescent="0.3"/>
  <cols>
    <col min="1" max="1" width="10.81640625" style="9" customWidth="1"/>
    <col min="2" max="2" width="9.54296875" style="10" bestFit="1" customWidth="1"/>
    <col min="3" max="3" width="66.1796875" customWidth="1"/>
    <col min="4" max="4" width="15.54296875" style="11" bestFit="1" customWidth="1"/>
    <col min="5" max="5" width="14.54296875" style="12" bestFit="1" customWidth="1"/>
    <col min="6" max="6" width="14.7265625" style="8" customWidth="1"/>
    <col min="7" max="7" width="12.81640625" customWidth="1"/>
    <col min="8" max="8" width="15" bestFit="1" customWidth="1"/>
    <col min="9" max="10" width="14.54296875" bestFit="1" customWidth="1"/>
  </cols>
  <sheetData>
    <row r="1" spans="1:9" s="1" customFormat="1" ht="17" x14ac:dyDescent="0.6">
      <c r="A1" s="3"/>
      <c r="B1" s="33"/>
      <c r="C1" s="34" t="s">
        <v>1</v>
      </c>
      <c r="D1" s="13" t="s">
        <v>6</v>
      </c>
      <c r="E1" s="35" t="s">
        <v>7</v>
      </c>
      <c r="F1" s="36"/>
    </row>
    <row r="2" spans="1:9" s="1" customFormat="1" ht="14" x14ac:dyDescent="0.3">
      <c r="A2" s="3" t="s">
        <v>0</v>
      </c>
      <c r="B2" s="5" t="s">
        <v>2</v>
      </c>
      <c r="C2" s="34" t="s">
        <v>3</v>
      </c>
      <c r="D2" s="2" t="s">
        <v>4</v>
      </c>
      <c r="E2" s="11" t="s">
        <v>4</v>
      </c>
      <c r="F2" s="37" t="s">
        <v>5</v>
      </c>
    </row>
    <row r="3" spans="1:9" x14ac:dyDescent="0.3">
      <c r="C3" t="s">
        <v>8</v>
      </c>
      <c r="F3" s="8">
        <v>0</v>
      </c>
    </row>
    <row r="4" spans="1:9" s="1" customFormat="1" x14ac:dyDescent="0.3">
      <c r="A4" s="25"/>
      <c r="C4" s="1" t="s">
        <v>90</v>
      </c>
      <c r="D4" s="11"/>
      <c r="E4" s="11"/>
      <c r="F4" s="19">
        <f>F3+D4-E4</f>
        <v>0</v>
      </c>
    </row>
    <row r="5" spans="1:9" ht="16.5" customHeight="1" x14ac:dyDescent="0.3">
      <c r="A5" s="23">
        <v>45823</v>
      </c>
      <c r="B5"/>
      <c r="C5" t="s">
        <v>196</v>
      </c>
      <c r="D5" s="11">
        <v>77034580</v>
      </c>
      <c r="F5" s="8">
        <f>F4+D5-E5</f>
        <v>77034580</v>
      </c>
    </row>
    <row r="6" spans="1:9" ht="16.5" customHeight="1" x14ac:dyDescent="0.3">
      <c r="A6" s="23">
        <v>45823</v>
      </c>
      <c r="B6"/>
      <c r="C6" t="s">
        <v>175</v>
      </c>
      <c r="D6" s="11">
        <v>73000000</v>
      </c>
      <c r="F6" s="8">
        <f t="shared" ref="F6:F69" si="0">F5+D6-E6</f>
        <v>150034580</v>
      </c>
    </row>
    <row r="7" spans="1:9" ht="16.5" customHeight="1" x14ac:dyDescent="0.3">
      <c r="A7" s="23">
        <v>45824</v>
      </c>
      <c r="B7"/>
      <c r="C7" s="40" t="s">
        <v>197</v>
      </c>
      <c r="D7" s="16"/>
      <c r="E7" s="17">
        <v>72000000</v>
      </c>
      <c r="F7" s="8">
        <f t="shared" si="0"/>
        <v>78034580</v>
      </c>
    </row>
    <row r="8" spans="1:9" ht="16.5" customHeight="1" x14ac:dyDescent="0.3">
      <c r="A8" s="23">
        <v>45823</v>
      </c>
      <c r="B8"/>
      <c r="C8" s="40" t="s">
        <v>198</v>
      </c>
      <c r="D8" s="16"/>
      <c r="E8" s="17">
        <v>1000000</v>
      </c>
      <c r="F8" s="8">
        <f t="shared" si="0"/>
        <v>77034580</v>
      </c>
    </row>
    <row r="9" spans="1:9" ht="16.5" customHeight="1" x14ac:dyDescent="0.3">
      <c r="A9" s="23">
        <v>45824</v>
      </c>
      <c r="B9"/>
      <c r="C9" s="40" t="s">
        <v>199</v>
      </c>
      <c r="D9" s="16">
        <v>90000000</v>
      </c>
      <c r="E9" s="17"/>
      <c r="F9" s="8">
        <f t="shared" si="0"/>
        <v>167034580</v>
      </c>
    </row>
    <row r="10" spans="1:9" ht="16.5" customHeight="1" x14ac:dyDescent="0.3">
      <c r="A10" s="23">
        <v>45824</v>
      </c>
      <c r="B10"/>
      <c r="C10" s="40" t="s">
        <v>200</v>
      </c>
      <c r="D10" s="16"/>
      <c r="E10" s="17">
        <v>300000</v>
      </c>
      <c r="F10" s="8">
        <f t="shared" si="0"/>
        <v>166734580</v>
      </c>
    </row>
    <row r="11" spans="1:9" ht="16.5" customHeight="1" x14ac:dyDescent="0.3">
      <c r="A11" s="23">
        <v>45824</v>
      </c>
      <c r="B11"/>
      <c r="C11" s="40" t="s">
        <v>22</v>
      </c>
      <c r="D11" s="16"/>
      <c r="E11" s="17">
        <v>27000</v>
      </c>
      <c r="F11" s="8">
        <f t="shared" si="0"/>
        <v>166707580</v>
      </c>
    </row>
    <row r="12" spans="1:9" ht="16.5" customHeight="1" x14ac:dyDescent="0.3">
      <c r="A12" s="23">
        <v>45824</v>
      </c>
      <c r="B12"/>
      <c r="C12" s="40" t="s">
        <v>201</v>
      </c>
      <c r="D12" s="16"/>
      <c r="E12" s="17">
        <v>500000</v>
      </c>
      <c r="F12" s="8">
        <f t="shared" si="0"/>
        <v>166207580</v>
      </c>
    </row>
    <row r="13" spans="1:9" ht="16.5" customHeight="1" x14ac:dyDescent="0.3">
      <c r="A13" s="23">
        <v>45824</v>
      </c>
      <c r="B13"/>
      <c r="C13" s="40" t="s">
        <v>202</v>
      </c>
      <c r="D13" s="16"/>
      <c r="E13" s="17">
        <v>20000000</v>
      </c>
      <c r="F13" s="8">
        <f t="shared" si="0"/>
        <v>146207580</v>
      </c>
    </row>
    <row r="14" spans="1:9" ht="16.5" customHeight="1" x14ac:dyDescent="0.3">
      <c r="A14" s="23">
        <v>45824</v>
      </c>
      <c r="B14"/>
      <c r="C14" s="40" t="s">
        <v>203</v>
      </c>
      <c r="D14" s="16"/>
      <c r="E14" s="17">
        <v>100000</v>
      </c>
      <c r="F14" s="8">
        <f t="shared" si="0"/>
        <v>146107580</v>
      </c>
      <c r="H14" s="15"/>
    </row>
    <row r="15" spans="1:9" ht="16.5" customHeight="1" x14ac:dyDescent="0.3">
      <c r="A15" s="23">
        <v>45824</v>
      </c>
      <c r="B15"/>
      <c r="C15" s="40" t="s">
        <v>204</v>
      </c>
      <c r="D15" s="16">
        <v>110000000</v>
      </c>
      <c r="E15" s="17"/>
      <c r="F15" s="8">
        <f t="shared" si="0"/>
        <v>256107580</v>
      </c>
    </row>
    <row r="16" spans="1:9" ht="16.5" customHeight="1" x14ac:dyDescent="0.3">
      <c r="A16" s="23">
        <v>45824</v>
      </c>
      <c r="B16"/>
      <c r="C16" s="40" t="s">
        <v>205</v>
      </c>
      <c r="D16" s="16"/>
      <c r="E16" s="17">
        <f>140000000+103550000</f>
        <v>243550000</v>
      </c>
      <c r="F16" s="8">
        <f t="shared" si="0"/>
        <v>12557580</v>
      </c>
      <c r="H16" s="15"/>
      <c r="I16" s="29"/>
    </row>
    <row r="17" spans="1:8" ht="16.5" customHeight="1" x14ac:dyDescent="0.3">
      <c r="A17" s="23">
        <v>45824</v>
      </c>
      <c r="B17"/>
      <c r="C17" s="40" t="s">
        <v>206</v>
      </c>
      <c r="D17" s="16"/>
      <c r="E17" s="17">
        <v>2000000</v>
      </c>
      <c r="F17" s="8">
        <f t="shared" si="0"/>
        <v>10557580</v>
      </c>
      <c r="H17" s="15"/>
    </row>
    <row r="18" spans="1:8" ht="16.5" customHeight="1" x14ac:dyDescent="0.3">
      <c r="A18" s="23">
        <v>45824</v>
      </c>
      <c r="B18"/>
      <c r="C18" s="40" t="s">
        <v>207</v>
      </c>
      <c r="D18" s="16"/>
      <c r="E18" s="17">
        <v>100000</v>
      </c>
      <c r="F18" s="8">
        <f t="shared" si="0"/>
        <v>10457580</v>
      </c>
      <c r="H18" s="15"/>
    </row>
    <row r="19" spans="1:8" ht="16.5" customHeight="1" x14ac:dyDescent="0.3">
      <c r="A19" s="23">
        <v>45824</v>
      </c>
      <c r="B19"/>
      <c r="C19" s="40" t="s">
        <v>208</v>
      </c>
      <c r="D19" s="16">
        <v>5000000</v>
      </c>
      <c r="E19" s="17"/>
      <c r="F19" s="8">
        <f t="shared" si="0"/>
        <v>15457580</v>
      </c>
    </row>
    <row r="20" spans="1:8" ht="16.5" customHeight="1" x14ac:dyDescent="0.3">
      <c r="A20" s="23">
        <v>45824</v>
      </c>
      <c r="B20"/>
      <c r="C20" s="40" t="s">
        <v>209</v>
      </c>
      <c r="D20" s="16">
        <v>1700000</v>
      </c>
      <c r="E20" s="17"/>
      <c r="F20" s="8">
        <f t="shared" si="0"/>
        <v>17157580</v>
      </c>
    </row>
    <row r="21" spans="1:8" ht="16.5" customHeight="1" x14ac:dyDescent="0.3">
      <c r="A21" s="23">
        <v>45824</v>
      </c>
      <c r="B21"/>
      <c r="C21" s="40" t="s">
        <v>210</v>
      </c>
      <c r="D21" s="16"/>
      <c r="E21" s="17">
        <f>5000000+1450000</f>
        <v>6450000</v>
      </c>
      <c r="F21" s="8">
        <f t="shared" si="0"/>
        <v>10707580</v>
      </c>
    </row>
    <row r="22" spans="1:8" ht="16.5" customHeight="1" x14ac:dyDescent="0.3">
      <c r="A22" s="23">
        <v>45824</v>
      </c>
      <c r="B22"/>
      <c r="C22" s="40" t="s">
        <v>189</v>
      </c>
      <c r="D22" s="16"/>
      <c r="E22" s="17">
        <v>135000</v>
      </c>
      <c r="F22" s="8">
        <f t="shared" si="0"/>
        <v>10572580</v>
      </c>
    </row>
    <row r="23" spans="1:8" ht="16.5" customHeight="1" x14ac:dyDescent="0.3">
      <c r="A23" s="23">
        <v>45824</v>
      </c>
      <c r="B23"/>
      <c r="C23" t="s">
        <v>212</v>
      </c>
      <c r="E23" s="12">
        <v>400000</v>
      </c>
      <c r="F23" s="8">
        <f t="shared" si="0"/>
        <v>10172580</v>
      </c>
    </row>
    <row r="24" spans="1:8" ht="16.5" customHeight="1" x14ac:dyDescent="0.3">
      <c r="A24" s="23">
        <v>45824</v>
      </c>
      <c r="B24"/>
      <c r="C24" t="s">
        <v>211</v>
      </c>
      <c r="E24" s="12">
        <v>400000</v>
      </c>
      <c r="F24" s="8">
        <f t="shared" si="0"/>
        <v>9772580</v>
      </c>
    </row>
    <row r="25" spans="1:8" ht="16.5" customHeight="1" x14ac:dyDescent="0.3">
      <c r="A25" s="23">
        <v>45824</v>
      </c>
      <c r="B25"/>
      <c r="C25" t="s">
        <v>213</v>
      </c>
      <c r="E25" s="12">
        <v>10000</v>
      </c>
      <c r="F25" s="8">
        <f t="shared" si="0"/>
        <v>9762580</v>
      </c>
    </row>
    <row r="26" spans="1:8" ht="16.5" customHeight="1" x14ac:dyDescent="0.3">
      <c r="A26" s="23">
        <v>45825</v>
      </c>
      <c r="B26"/>
      <c r="C26" t="s">
        <v>215</v>
      </c>
      <c r="E26" s="12">
        <v>130000</v>
      </c>
      <c r="F26" s="8">
        <f t="shared" si="0"/>
        <v>9632580</v>
      </c>
    </row>
    <row r="27" spans="1:8" ht="16.5" customHeight="1" x14ac:dyDescent="0.3">
      <c r="A27" s="23">
        <v>45825</v>
      </c>
      <c r="B27"/>
      <c r="C27" s="40" t="s">
        <v>216</v>
      </c>
      <c r="D27" s="16"/>
      <c r="E27" s="17">
        <f>29370739-130000</f>
        <v>29240739</v>
      </c>
      <c r="F27" s="8">
        <f t="shared" si="0"/>
        <v>-19608159</v>
      </c>
    </row>
    <row r="28" spans="1:8" ht="16.5" customHeight="1" x14ac:dyDescent="0.3">
      <c r="A28" s="23">
        <v>45825</v>
      </c>
      <c r="B28"/>
      <c r="C28" s="40" t="s">
        <v>217</v>
      </c>
      <c r="D28" s="16"/>
      <c r="E28" s="17">
        <v>5000000</v>
      </c>
      <c r="F28" s="8">
        <f t="shared" si="0"/>
        <v>-24608159</v>
      </c>
    </row>
    <row r="29" spans="1:8" ht="16.5" customHeight="1" x14ac:dyDescent="0.3">
      <c r="A29" s="23">
        <v>45825</v>
      </c>
      <c r="B29"/>
      <c r="C29" s="40" t="s">
        <v>218</v>
      </c>
      <c r="D29" s="16"/>
      <c r="E29" s="17">
        <v>6449300</v>
      </c>
      <c r="F29" s="8">
        <f t="shared" si="0"/>
        <v>-31057459</v>
      </c>
    </row>
    <row r="30" spans="1:8" ht="16.5" customHeight="1" x14ac:dyDescent="0.3">
      <c r="A30" s="23">
        <v>45825</v>
      </c>
      <c r="B30"/>
      <c r="C30" s="40" t="s">
        <v>219</v>
      </c>
      <c r="D30" s="16"/>
      <c r="E30" s="17">
        <v>30000</v>
      </c>
      <c r="F30" s="8">
        <f t="shared" si="0"/>
        <v>-31087459</v>
      </c>
    </row>
    <row r="31" spans="1:8" ht="16.5" customHeight="1" x14ac:dyDescent="0.3">
      <c r="A31" s="23">
        <v>45825</v>
      </c>
      <c r="B31"/>
      <c r="C31" s="40" t="s">
        <v>220</v>
      </c>
      <c r="D31" s="16"/>
      <c r="E31" s="17">
        <v>20000</v>
      </c>
      <c r="F31" s="8">
        <f t="shared" si="0"/>
        <v>-31107459</v>
      </c>
    </row>
    <row r="32" spans="1:8" ht="16.5" customHeight="1" x14ac:dyDescent="0.3">
      <c r="A32" s="23">
        <v>45825</v>
      </c>
      <c r="B32"/>
      <c r="C32" s="40" t="s">
        <v>202</v>
      </c>
      <c r="D32" s="16"/>
      <c r="E32" s="17">
        <v>8157600</v>
      </c>
      <c r="F32" s="8">
        <f t="shared" si="0"/>
        <v>-39265059</v>
      </c>
    </row>
    <row r="33" spans="1:6" ht="16.5" customHeight="1" x14ac:dyDescent="0.3">
      <c r="A33" s="23">
        <v>45825</v>
      </c>
      <c r="B33"/>
      <c r="C33" t="s">
        <v>221</v>
      </c>
      <c r="D33" s="11">
        <v>31078339</v>
      </c>
      <c r="F33" s="8">
        <f t="shared" si="0"/>
        <v>-8186720</v>
      </c>
    </row>
    <row r="34" spans="1:6" ht="16.5" customHeight="1" x14ac:dyDescent="0.3">
      <c r="A34" s="23">
        <v>45825</v>
      </c>
      <c r="B34"/>
      <c r="C34" t="s">
        <v>221</v>
      </c>
      <c r="D34" s="11">
        <v>6479300</v>
      </c>
      <c r="F34" s="8">
        <f t="shared" si="0"/>
        <v>-1707420</v>
      </c>
    </row>
    <row r="35" spans="1:6" ht="16.5" customHeight="1" x14ac:dyDescent="0.3">
      <c r="A35" s="23">
        <v>45825</v>
      </c>
      <c r="B35"/>
      <c r="C35" t="s">
        <v>222</v>
      </c>
      <c r="E35" s="12">
        <v>100000</v>
      </c>
      <c r="F35" s="8">
        <f t="shared" si="0"/>
        <v>-1807420</v>
      </c>
    </row>
    <row r="36" spans="1:6" ht="16.5" customHeight="1" x14ac:dyDescent="0.3">
      <c r="A36" s="23">
        <v>45825</v>
      </c>
      <c r="B36"/>
      <c r="C36" t="s">
        <v>223</v>
      </c>
      <c r="E36" s="12">
        <v>150000</v>
      </c>
      <c r="F36" s="8">
        <f t="shared" si="0"/>
        <v>-1957420</v>
      </c>
    </row>
    <row r="37" spans="1:6" ht="16.5" customHeight="1" x14ac:dyDescent="0.3">
      <c r="A37" s="23">
        <v>45825</v>
      </c>
      <c r="B37"/>
      <c r="C37" t="s">
        <v>224</v>
      </c>
      <c r="E37" s="12">
        <v>30000</v>
      </c>
      <c r="F37" s="8">
        <f t="shared" si="0"/>
        <v>-1987420</v>
      </c>
    </row>
    <row r="38" spans="1:6" ht="16.5" customHeight="1" x14ac:dyDescent="0.3">
      <c r="A38" s="23">
        <v>45825</v>
      </c>
      <c r="B38"/>
      <c r="C38" t="s">
        <v>225</v>
      </c>
      <c r="E38" s="12">
        <v>1000000</v>
      </c>
      <c r="F38" s="8">
        <f t="shared" si="0"/>
        <v>-2987420</v>
      </c>
    </row>
    <row r="39" spans="1:6" ht="16.5" customHeight="1" x14ac:dyDescent="0.3">
      <c r="A39" s="23">
        <v>45824</v>
      </c>
      <c r="B39"/>
      <c r="C39" t="s">
        <v>226</v>
      </c>
      <c r="E39" s="12">
        <v>4883465</v>
      </c>
      <c r="F39" s="8">
        <f t="shared" si="0"/>
        <v>-7870885</v>
      </c>
    </row>
    <row r="40" spans="1:6" ht="16.5" customHeight="1" x14ac:dyDescent="0.3">
      <c r="A40" s="23">
        <v>45824</v>
      </c>
      <c r="B40"/>
      <c r="C40" t="s">
        <v>228</v>
      </c>
      <c r="E40" s="12">
        <v>300000</v>
      </c>
      <c r="F40" s="8">
        <f t="shared" si="0"/>
        <v>-8170885</v>
      </c>
    </row>
    <row r="41" spans="1:6" ht="16.5" customHeight="1" x14ac:dyDescent="0.3">
      <c r="A41" s="23">
        <v>45824</v>
      </c>
      <c r="B41"/>
      <c r="C41" t="s">
        <v>229</v>
      </c>
      <c r="E41" s="12">
        <v>100000</v>
      </c>
      <c r="F41" s="8">
        <f t="shared" si="0"/>
        <v>-8270885</v>
      </c>
    </row>
    <row r="42" spans="1:6" ht="16.5" customHeight="1" x14ac:dyDescent="0.3">
      <c r="A42" s="23">
        <v>45824</v>
      </c>
      <c r="B42"/>
      <c r="C42" t="s">
        <v>230</v>
      </c>
      <c r="E42" s="12">
        <v>22000</v>
      </c>
      <c r="F42" s="8">
        <f t="shared" si="0"/>
        <v>-8292885</v>
      </c>
    </row>
    <row r="43" spans="1:6" ht="16.5" customHeight="1" x14ac:dyDescent="0.3">
      <c r="A43" s="23">
        <v>45824</v>
      </c>
      <c r="B43"/>
      <c r="C43" t="s">
        <v>231</v>
      </c>
      <c r="E43" s="12">
        <v>40000</v>
      </c>
      <c r="F43" s="8">
        <f t="shared" si="0"/>
        <v>-8332885</v>
      </c>
    </row>
    <row r="44" spans="1:6" ht="16.5" customHeight="1" x14ac:dyDescent="0.3">
      <c r="A44" s="23">
        <v>45824</v>
      </c>
      <c r="B44"/>
      <c r="C44" t="s">
        <v>232</v>
      </c>
      <c r="E44" s="12">
        <v>170000</v>
      </c>
      <c r="F44" s="8">
        <f t="shared" si="0"/>
        <v>-8502885</v>
      </c>
    </row>
    <row r="45" spans="1:6" ht="16.5" customHeight="1" x14ac:dyDescent="0.3">
      <c r="A45" s="23">
        <v>45824</v>
      </c>
      <c r="B45"/>
      <c r="C45" t="s">
        <v>233</v>
      </c>
      <c r="D45" s="16"/>
      <c r="E45" s="17">
        <v>75000</v>
      </c>
      <c r="F45" s="8">
        <f t="shared" si="0"/>
        <v>-8577885</v>
      </c>
    </row>
    <row r="46" spans="1:6" ht="16.5" customHeight="1" x14ac:dyDescent="0.3">
      <c r="A46" s="23">
        <v>45824</v>
      </c>
      <c r="B46"/>
      <c r="C46" t="s">
        <v>234</v>
      </c>
      <c r="E46" s="12">
        <v>45000</v>
      </c>
      <c r="F46" s="8">
        <f t="shared" si="0"/>
        <v>-8622885</v>
      </c>
    </row>
    <row r="47" spans="1:6" ht="16.5" customHeight="1" x14ac:dyDescent="0.3">
      <c r="A47" s="23">
        <v>45824</v>
      </c>
      <c r="B47"/>
      <c r="C47" t="s">
        <v>235</v>
      </c>
      <c r="D47" s="16"/>
      <c r="E47" s="17">
        <v>215000</v>
      </c>
      <c r="F47" s="8">
        <f t="shared" si="0"/>
        <v>-8837885</v>
      </c>
    </row>
    <row r="48" spans="1:6" ht="16.5" customHeight="1" x14ac:dyDescent="0.3">
      <c r="A48" s="23">
        <v>45824</v>
      </c>
      <c r="B48"/>
      <c r="C48" t="s">
        <v>239</v>
      </c>
      <c r="E48" s="12">
        <v>900000</v>
      </c>
      <c r="F48" s="8">
        <f t="shared" si="0"/>
        <v>-9737885</v>
      </c>
    </row>
    <row r="49" spans="1:8" ht="16.5" customHeight="1" x14ac:dyDescent="0.3">
      <c r="A49" s="23">
        <v>45824</v>
      </c>
      <c r="B49"/>
      <c r="C49" t="s">
        <v>236</v>
      </c>
      <c r="E49" s="12">
        <v>60000</v>
      </c>
      <c r="F49" s="8">
        <f t="shared" si="0"/>
        <v>-9797885</v>
      </c>
    </row>
    <row r="50" spans="1:8" ht="16.5" customHeight="1" x14ac:dyDescent="0.3">
      <c r="A50" s="23">
        <v>45824</v>
      </c>
      <c r="B50"/>
      <c r="C50" t="s">
        <v>237</v>
      </c>
      <c r="E50" s="12">
        <v>60000</v>
      </c>
      <c r="F50" s="8">
        <f t="shared" si="0"/>
        <v>-9857885</v>
      </c>
      <c r="H50" s="15"/>
    </row>
    <row r="51" spans="1:8" ht="16.5" customHeight="1" x14ac:dyDescent="0.3">
      <c r="A51" s="23">
        <v>45824</v>
      </c>
      <c r="B51"/>
      <c r="C51" t="s">
        <v>238</v>
      </c>
      <c r="E51" s="12">
        <v>2400000</v>
      </c>
      <c r="F51" s="8">
        <f t="shared" si="0"/>
        <v>-12257885</v>
      </c>
      <c r="H51" s="15"/>
    </row>
    <row r="52" spans="1:8" ht="16.5" customHeight="1" x14ac:dyDescent="0.3">
      <c r="A52" s="23">
        <v>45824</v>
      </c>
      <c r="B52"/>
      <c r="C52" t="s">
        <v>240</v>
      </c>
      <c r="E52" s="12">
        <v>51600</v>
      </c>
      <c r="F52" s="8">
        <f t="shared" si="0"/>
        <v>-12309485</v>
      </c>
      <c r="H52" s="15"/>
    </row>
    <row r="53" spans="1:8" ht="16.5" customHeight="1" x14ac:dyDescent="0.3">
      <c r="A53" s="23">
        <v>45824</v>
      </c>
      <c r="B53"/>
      <c r="C53" t="s">
        <v>241</v>
      </c>
      <c r="D53" s="11">
        <v>3000000</v>
      </c>
      <c r="F53" s="8">
        <f t="shared" si="0"/>
        <v>-9309485</v>
      </c>
      <c r="H53" s="15"/>
    </row>
    <row r="54" spans="1:8" ht="16.5" customHeight="1" x14ac:dyDescent="0.3">
      <c r="A54" s="23">
        <v>45824</v>
      </c>
      <c r="B54"/>
      <c r="C54" t="s">
        <v>242</v>
      </c>
      <c r="E54" s="12">
        <v>500000</v>
      </c>
      <c r="F54" s="8">
        <f t="shared" si="0"/>
        <v>-9809485</v>
      </c>
    </row>
    <row r="55" spans="1:8" ht="16.5" customHeight="1" x14ac:dyDescent="0.3">
      <c r="A55" s="23">
        <v>45824</v>
      </c>
      <c r="B55"/>
      <c r="C55" t="s">
        <v>243</v>
      </c>
      <c r="E55" s="12">
        <v>100000</v>
      </c>
      <c r="F55" s="8">
        <f t="shared" si="0"/>
        <v>-9909485</v>
      </c>
    </row>
    <row r="56" spans="1:8" ht="16.5" customHeight="1" x14ac:dyDescent="0.3">
      <c r="A56" s="23">
        <v>45824</v>
      </c>
      <c r="B56"/>
      <c r="C56" t="s">
        <v>247</v>
      </c>
      <c r="E56" s="12">
        <v>3901260</v>
      </c>
      <c r="F56" s="8">
        <f t="shared" si="0"/>
        <v>-13810745</v>
      </c>
    </row>
    <row r="57" spans="1:8" ht="16.5" customHeight="1" x14ac:dyDescent="0.3">
      <c r="A57" s="23">
        <v>45824</v>
      </c>
      <c r="B57"/>
      <c r="C57" t="s">
        <v>248</v>
      </c>
      <c r="E57" s="12">
        <v>20000</v>
      </c>
      <c r="F57" s="8">
        <f t="shared" si="0"/>
        <v>-13830745</v>
      </c>
    </row>
    <row r="58" spans="1:8" ht="16.5" customHeight="1" x14ac:dyDescent="0.3">
      <c r="A58" s="23">
        <v>45824</v>
      </c>
      <c r="B58"/>
      <c r="C58" t="s">
        <v>249</v>
      </c>
      <c r="E58" s="12">
        <v>40000</v>
      </c>
      <c r="F58" s="8">
        <f t="shared" si="0"/>
        <v>-13870745</v>
      </c>
    </row>
    <row r="59" spans="1:8" ht="16.5" customHeight="1" x14ac:dyDescent="0.3">
      <c r="A59" s="23">
        <v>45824</v>
      </c>
      <c r="B59"/>
      <c r="F59" s="8">
        <f t="shared" si="0"/>
        <v>-13870745</v>
      </c>
    </row>
    <row r="60" spans="1:8" ht="16.5" customHeight="1" x14ac:dyDescent="0.3">
      <c r="A60" s="23">
        <v>45824</v>
      </c>
      <c r="B60"/>
      <c r="F60" s="8">
        <f t="shared" si="0"/>
        <v>-13870745</v>
      </c>
    </row>
    <row r="61" spans="1:8" ht="16.5" customHeight="1" x14ac:dyDescent="0.3">
      <c r="A61" s="23">
        <v>45824</v>
      </c>
      <c r="B61"/>
      <c r="F61" s="8">
        <f t="shared" si="0"/>
        <v>-13870745</v>
      </c>
    </row>
    <row r="62" spans="1:8" ht="16.5" customHeight="1" x14ac:dyDescent="0.3">
      <c r="A62" s="23">
        <v>45824</v>
      </c>
      <c r="B62"/>
      <c r="F62" s="8">
        <f t="shared" si="0"/>
        <v>-13870745</v>
      </c>
    </row>
    <row r="63" spans="1:8" s="1" customFormat="1" ht="16.5" customHeight="1" x14ac:dyDescent="0.3">
      <c r="A63" s="23">
        <v>45824</v>
      </c>
      <c r="C63"/>
      <c r="D63" s="11"/>
      <c r="E63" s="24"/>
      <c r="F63" s="18">
        <f t="shared" si="0"/>
        <v>-13870745</v>
      </c>
    </row>
    <row r="64" spans="1:8" s="1" customFormat="1" ht="16.5" customHeight="1" x14ac:dyDescent="0.3">
      <c r="A64" s="23">
        <v>45824</v>
      </c>
      <c r="C64"/>
      <c r="D64" s="11"/>
      <c r="E64" s="24"/>
      <c r="F64" s="18">
        <f t="shared" si="0"/>
        <v>-13870745</v>
      </c>
    </row>
    <row r="65" spans="1:7" ht="16.5" customHeight="1" x14ac:dyDescent="0.3">
      <c r="A65" s="23">
        <v>45824</v>
      </c>
      <c r="B65"/>
      <c r="F65" s="18">
        <f t="shared" si="0"/>
        <v>-13870745</v>
      </c>
    </row>
    <row r="66" spans="1:7" ht="16.5" customHeight="1" x14ac:dyDescent="0.3">
      <c r="A66" s="23">
        <v>45824</v>
      </c>
      <c r="B66"/>
      <c r="F66" s="8">
        <f t="shared" si="0"/>
        <v>-13870745</v>
      </c>
    </row>
    <row r="67" spans="1:7" ht="16.5" customHeight="1" x14ac:dyDescent="0.3">
      <c r="A67" s="23">
        <v>45824</v>
      </c>
      <c r="B67"/>
      <c r="F67" s="8">
        <f t="shared" si="0"/>
        <v>-13870745</v>
      </c>
    </row>
    <row r="68" spans="1:7" ht="16.5" customHeight="1" x14ac:dyDescent="0.3">
      <c r="A68" s="23">
        <v>45824</v>
      </c>
      <c r="B68"/>
      <c r="F68" s="8">
        <f t="shared" si="0"/>
        <v>-13870745</v>
      </c>
    </row>
    <row r="69" spans="1:7" ht="16.5" customHeight="1" x14ac:dyDescent="0.3">
      <c r="A69" s="23">
        <v>45824</v>
      </c>
      <c r="B69"/>
      <c r="F69" s="8">
        <f t="shared" si="0"/>
        <v>-13870745</v>
      </c>
    </row>
    <row r="70" spans="1:7" ht="16.5" customHeight="1" x14ac:dyDescent="0.3">
      <c r="A70" s="23">
        <v>45824</v>
      </c>
      <c r="B70"/>
      <c r="F70" s="8">
        <f t="shared" ref="F70:F132" si="1">F69+D70-E70</f>
        <v>-13870745</v>
      </c>
    </row>
    <row r="71" spans="1:7" ht="16.5" customHeight="1" x14ac:dyDescent="0.3">
      <c r="A71" s="23">
        <v>45824</v>
      </c>
      <c r="B71"/>
      <c r="F71" s="8">
        <f t="shared" si="1"/>
        <v>-13870745</v>
      </c>
    </row>
    <row r="72" spans="1:7" ht="16.5" customHeight="1" x14ac:dyDescent="0.3">
      <c r="A72" s="23">
        <v>45824</v>
      </c>
      <c r="B72"/>
      <c r="F72" s="8">
        <f t="shared" si="1"/>
        <v>-13870745</v>
      </c>
    </row>
    <row r="73" spans="1:7" ht="16.5" customHeight="1" x14ac:dyDescent="0.3">
      <c r="A73" s="23">
        <v>45824</v>
      </c>
      <c r="B73"/>
      <c r="F73" s="8">
        <f t="shared" si="1"/>
        <v>-13870745</v>
      </c>
    </row>
    <row r="74" spans="1:7" ht="16.5" customHeight="1" x14ac:dyDescent="0.3">
      <c r="A74" s="23">
        <v>45824</v>
      </c>
      <c r="B74"/>
      <c r="F74" s="8">
        <f t="shared" si="1"/>
        <v>-13870745</v>
      </c>
    </row>
    <row r="75" spans="1:7" ht="16.5" customHeight="1" x14ac:dyDescent="0.3">
      <c r="A75" s="23">
        <v>45824</v>
      </c>
      <c r="B75"/>
      <c r="F75" s="8">
        <f t="shared" si="1"/>
        <v>-13870745</v>
      </c>
    </row>
    <row r="76" spans="1:7" ht="16.5" customHeight="1" x14ac:dyDescent="0.3">
      <c r="A76" s="23">
        <v>45824</v>
      </c>
      <c r="B76"/>
      <c r="F76" s="8">
        <f t="shared" si="1"/>
        <v>-13870745</v>
      </c>
    </row>
    <row r="77" spans="1:7" ht="16.5" customHeight="1" x14ac:dyDescent="0.3">
      <c r="A77" s="23">
        <v>45824</v>
      </c>
      <c r="B77"/>
      <c r="F77" s="8">
        <f t="shared" si="1"/>
        <v>-13870745</v>
      </c>
    </row>
    <row r="78" spans="1:7" ht="16.5" customHeight="1" x14ac:dyDescent="0.3">
      <c r="A78" s="23">
        <v>45824</v>
      </c>
      <c r="B78"/>
      <c r="F78" s="8">
        <f t="shared" si="1"/>
        <v>-13870745</v>
      </c>
      <c r="G78" s="15"/>
    </row>
    <row r="79" spans="1:7" ht="16.5" customHeight="1" x14ac:dyDescent="0.3">
      <c r="A79" s="23">
        <v>45824</v>
      </c>
      <c r="B79"/>
      <c r="F79" s="8">
        <f t="shared" si="1"/>
        <v>-13870745</v>
      </c>
    </row>
    <row r="80" spans="1:7" ht="16.5" customHeight="1" x14ac:dyDescent="0.3">
      <c r="A80" s="23">
        <v>45824</v>
      </c>
      <c r="B80"/>
      <c r="F80" s="8">
        <f t="shared" si="1"/>
        <v>-13870745</v>
      </c>
    </row>
    <row r="81" spans="1:6" ht="16.5" customHeight="1" x14ac:dyDescent="0.3">
      <c r="A81" s="23">
        <v>45824</v>
      </c>
      <c r="B81"/>
      <c r="F81" s="8">
        <f t="shared" si="1"/>
        <v>-13870745</v>
      </c>
    </row>
    <row r="82" spans="1:6" ht="16.5" customHeight="1" x14ac:dyDescent="0.3">
      <c r="A82" s="23">
        <v>45824</v>
      </c>
      <c r="B82"/>
      <c r="F82" s="8">
        <f t="shared" si="1"/>
        <v>-13870745</v>
      </c>
    </row>
    <row r="83" spans="1:6" ht="16.5" customHeight="1" x14ac:dyDescent="0.3">
      <c r="A83" s="23">
        <v>45824</v>
      </c>
      <c r="B83"/>
      <c r="F83" s="8">
        <f t="shared" si="1"/>
        <v>-13870745</v>
      </c>
    </row>
    <row r="84" spans="1:6" ht="16.5" customHeight="1" x14ac:dyDescent="0.3">
      <c r="A84" s="23">
        <v>45824</v>
      </c>
      <c r="B84"/>
      <c r="D84" s="16"/>
      <c r="E84" s="17"/>
      <c r="F84" s="8">
        <f t="shared" si="1"/>
        <v>-13870745</v>
      </c>
    </row>
    <row r="85" spans="1:6" ht="16.5" customHeight="1" x14ac:dyDescent="0.3">
      <c r="A85" s="23">
        <v>45824</v>
      </c>
      <c r="B85"/>
      <c r="D85" s="16"/>
      <c r="E85" s="17"/>
      <c r="F85" s="8">
        <f t="shared" si="1"/>
        <v>-13870745</v>
      </c>
    </row>
    <row r="86" spans="1:6" ht="16.5" customHeight="1" x14ac:dyDescent="0.3">
      <c r="A86" s="23">
        <v>45824</v>
      </c>
      <c r="B86"/>
      <c r="F86" s="8">
        <f t="shared" si="1"/>
        <v>-13870745</v>
      </c>
    </row>
    <row r="87" spans="1:6" ht="16.5" customHeight="1" x14ac:dyDescent="0.3">
      <c r="A87" s="23">
        <v>45824</v>
      </c>
      <c r="B87"/>
      <c r="F87" s="8">
        <f t="shared" si="1"/>
        <v>-13870745</v>
      </c>
    </row>
    <row r="88" spans="1:6" ht="16.5" customHeight="1" x14ac:dyDescent="0.3">
      <c r="A88" s="23">
        <v>45824</v>
      </c>
      <c r="B88"/>
      <c r="C88" s="15"/>
      <c r="F88" s="8">
        <f t="shared" si="1"/>
        <v>-13870745</v>
      </c>
    </row>
    <row r="89" spans="1:6" ht="16.5" customHeight="1" x14ac:dyDescent="0.3">
      <c r="A89" s="23">
        <v>45824</v>
      </c>
      <c r="B89"/>
      <c r="F89" s="8">
        <f t="shared" si="1"/>
        <v>-13870745</v>
      </c>
    </row>
    <row r="90" spans="1:6" ht="16.5" customHeight="1" x14ac:dyDescent="0.3">
      <c r="A90" s="23">
        <v>45824</v>
      </c>
      <c r="B90"/>
      <c r="D90" s="31"/>
      <c r="F90" s="8">
        <f t="shared" si="1"/>
        <v>-13870745</v>
      </c>
    </row>
    <row r="91" spans="1:6" ht="16.5" customHeight="1" x14ac:dyDescent="0.3">
      <c r="A91" s="23">
        <v>45824</v>
      </c>
      <c r="B91"/>
      <c r="F91" s="8">
        <f t="shared" si="1"/>
        <v>-13870745</v>
      </c>
    </row>
    <row r="92" spans="1:6" ht="16.5" customHeight="1" x14ac:dyDescent="0.3">
      <c r="A92" s="23">
        <v>45824</v>
      </c>
      <c r="B92"/>
      <c r="D92" s="30"/>
      <c r="F92" s="8">
        <f t="shared" si="1"/>
        <v>-13870745</v>
      </c>
    </row>
    <row r="93" spans="1:6" ht="16.5" customHeight="1" x14ac:dyDescent="0.3">
      <c r="A93" s="23">
        <v>45824</v>
      </c>
      <c r="B93"/>
      <c r="F93" s="8">
        <f t="shared" si="1"/>
        <v>-13870745</v>
      </c>
    </row>
    <row r="94" spans="1:6" ht="16.5" customHeight="1" x14ac:dyDescent="0.3">
      <c r="A94" s="23">
        <v>45824</v>
      </c>
      <c r="B94"/>
      <c r="F94" s="8">
        <f t="shared" si="1"/>
        <v>-13870745</v>
      </c>
    </row>
    <row r="95" spans="1:6" ht="16.5" customHeight="1" x14ac:dyDescent="0.3">
      <c r="A95" s="23">
        <v>45824</v>
      </c>
      <c r="B95"/>
      <c r="F95" s="8">
        <f t="shared" si="1"/>
        <v>-13870745</v>
      </c>
    </row>
    <row r="96" spans="1:6" ht="16.5" customHeight="1" x14ac:dyDescent="0.3">
      <c r="A96" s="23">
        <v>45824</v>
      </c>
      <c r="B96"/>
      <c r="F96" s="8">
        <f t="shared" si="1"/>
        <v>-13870745</v>
      </c>
    </row>
    <row r="97" spans="1:6" ht="16.5" customHeight="1" x14ac:dyDescent="0.3">
      <c r="A97" s="23">
        <v>45824</v>
      </c>
      <c r="B97"/>
      <c r="F97" s="8">
        <f t="shared" si="1"/>
        <v>-13870745</v>
      </c>
    </row>
    <row r="98" spans="1:6" ht="16.5" customHeight="1" x14ac:dyDescent="0.3">
      <c r="A98" s="23">
        <v>45824</v>
      </c>
      <c r="B98"/>
      <c r="F98" s="8">
        <f t="shared" si="1"/>
        <v>-13870745</v>
      </c>
    </row>
    <row r="99" spans="1:6" ht="16.5" customHeight="1" x14ac:dyDescent="0.3">
      <c r="A99" s="23">
        <v>45824</v>
      </c>
      <c r="B99"/>
      <c r="F99" s="8">
        <f t="shared" si="1"/>
        <v>-13870745</v>
      </c>
    </row>
    <row r="100" spans="1:6" ht="16.5" customHeight="1" x14ac:dyDescent="0.3">
      <c r="A100" s="23">
        <v>45824</v>
      </c>
      <c r="B100"/>
      <c r="F100" s="8">
        <f t="shared" si="1"/>
        <v>-13870745</v>
      </c>
    </row>
    <row r="101" spans="1:6" ht="16.5" customHeight="1" x14ac:dyDescent="0.3">
      <c r="A101" s="23">
        <v>45824</v>
      </c>
      <c r="B101"/>
      <c r="F101" s="8">
        <f t="shared" si="1"/>
        <v>-13870745</v>
      </c>
    </row>
    <row r="102" spans="1:6" ht="16.5" customHeight="1" x14ac:dyDescent="0.3">
      <c r="A102" s="23">
        <v>45824</v>
      </c>
      <c r="B102"/>
      <c r="F102" s="8">
        <f t="shared" si="1"/>
        <v>-13870745</v>
      </c>
    </row>
    <row r="103" spans="1:6" ht="16.5" customHeight="1" x14ac:dyDescent="0.3">
      <c r="A103" s="23">
        <v>45824</v>
      </c>
      <c r="B103"/>
      <c r="F103" s="8">
        <f t="shared" si="1"/>
        <v>-13870745</v>
      </c>
    </row>
    <row r="104" spans="1:6" ht="16.5" customHeight="1" x14ac:dyDescent="0.3">
      <c r="A104" s="23">
        <v>45824</v>
      </c>
      <c r="B104"/>
      <c r="F104" s="8">
        <f t="shared" si="1"/>
        <v>-13870745</v>
      </c>
    </row>
    <row r="105" spans="1:6" ht="16.5" customHeight="1" x14ac:dyDescent="0.3">
      <c r="A105" s="23">
        <v>45824</v>
      </c>
      <c r="B105"/>
      <c r="F105" s="8">
        <f t="shared" si="1"/>
        <v>-13870745</v>
      </c>
    </row>
    <row r="106" spans="1:6" ht="16.5" customHeight="1" x14ac:dyDescent="0.3">
      <c r="A106" s="23">
        <v>45824</v>
      </c>
      <c r="B106"/>
      <c r="F106" s="8">
        <f t="shared" si="1"/>
        <v>-13870745</v>
      </c>
    </row>
    <row r="107" spans="1:6" ht="16.5" customHeight="1" x14ac:dyDescent="0.3">
      <c r="A107" s="23">
        <v>45824</v>
      </c>
      <c r="B107"/>
      <c r="F107" s="8">
        <f t="shared" si="1"/>
        <v>-13870745</v>
      </c>
    </row>
    <row r="108" spans="1:6" ht="16.5" customHeight="1" x14ac:dyDescent="0.3">
      <c r="A108" s="23">
        <v>45824</v>
      </c>
      <c r="B108"/>
      <c r="F108" s="8">
        <f t="shared" si="1"/>
        <v>-13870745</v>
      </c>
    </row>
    <row r="109" spans="1:6" ht="16.5" customHeight="1" x14ac:dyDescent="0.3">
      <c r="A109" s="23">
        <v>45824</v>
      </c>
      <c r="B109"/>
      <c r="F109" s="8">
        <f t="shared" si="1"/>
        <v>-13870745</v>
      </c>
    </row>
    <row r="110" spans="1:6" ht="16.5" customHeight="1" x14ac:dyDescent="0.3">
      <c r="A110" s="23">
        <v>45824</v>
      </c>
      <c r="B110"/>
      <c r="F110" s="8">
        <f t="shared" si="1"/>
        <v>-13870745</v>
      </c>
    </row>
    <row r="111" spans="1:6" ht="16.5" customHeight="1" x14ac:dyDescent="0.3">
      <c r="A111" s="23">
        <v>45824</v>
      </c>
      <c r="B111"/>
      <c r="F111" s="8">
        <f t="shared" si="1"/>
        <v>-13870745</v>
      </c>
    </row>
    <row r="112" spans="1:6" ht="16.5" customHeight="1" x14ac:dyDescent="0.3">
      <c r="A112" s="23">
        <v>45824</v>
      </c>
      <c r="B112"/>
      <c r="F112" s="8">
        <f t="shared" si="1"/>
        <v>-13870745</v>
      </c>
    </row>
    <row r="113" spans="1:6" ht="16.5" customHeight="1" x14ac:dyDescent="0.3">
      <c r="A113" s="23">
        <v>45824</v>
      </c>
      <c r="B113"/>
      <c r="F113" s="8">
        <f t="shared" si="1"/>
        <v>-13870745</v>
      </c>
    </row>
    <row r="114" spans="1:6" ht="16.5" customHeight="1" x14ac:dyDescent="0.3">
      <c r="A114" s="23">
        <v>45824</v>
      </c>
      <c r="B114"/>
      <c r="F114" s="8">
        <f t="shared" si="1"/>
        <v>-13870745</v>
      </c>
    </row>
    <row r="115" spans="1:6" ht="16.5" customHeight="1" x14ac:dyDescent="0.3">
      <c r="A115" s="23">
        <v>45824</v>
      </c>
      <c r="B115"/>
      <c r="F115" s="8">
        <f t="shared" si="1"/>
        <v>-13870745</v>
      </c>
    </row>
    <row r="116" spans="1:6" ht="16.5" customHeight="1" x14ac:dyDescent="0.3">
      <c r="A116" s="23">
        <v>45824</v>
      </c>
      <c r="B116"/>
      <c r="F116" s="8">
        <f t="shared" si="1"/>
        <v>-13870745</v>
      </c>
    </row>
    <row r="117" spans="1:6" ht="16.5" customHeight="1" x14ac:dyDescent="0.3">
      <c r="A117" s="23">
        <v>45824</v>
      </c>
      <c r="B117"/>
      <c r="F117" s="8">
        <f t="shared" si="1"/>
        <v>-13870745</v>
      </c>
    </row>
    <row r="118" spans="1:6" ht="16.5" customHeight="1" x14ac:dyDescent="0.3">
      <c r="A118" s="23">
        <v>45824</v>
      </c>
      <c r="B118"/>
      <c r="F118" s="8">
        <f t="shared" si="1"/>
        <v>-13870745</v>
      </c>
    </row>
    <row r="119" spans="1:6" ht="16.5" customHeight="1" x14ac:dyDescent="0.3">
      <c r="A119" s="23">
        <v>45824</v>
      </c>
      <c r="B119"/>
      <c r="F119" s="8">
        <f t="shared" si="1"/>
        <v>-13870745</v>
      </c>
    </row>
    <row r="120" spans="1:6" ht="16.5" customHeight="1" x14ac:dyDescent="0.3">
      <c r="A120" s="23">
        <v>45824</v>
      </c>
      <c r="B120"/>
      <c r="F120" s="8">
        <f t="shared" si="1"/>
        <v>-13870745</v>
      </c>
    </row>
    <row r="121" spans="1:6" ht="16.5" customHeight="1" x14ac:dyDescent="0.3">
      <c r="A121" s="23">
        <v>45824</v>
      </c>
      <c r="B121"/>
      <c r="F121" s="8">
        <f t="shared" si="1"/>
        <v>-13870745</v>
      </c>
    </row>
    <row r="122" spans="1:6" ht="16.5" customHeight="1" x14ac:dyDescent="0.3">
      <c r="A122" s="23">
        <v>45824</v>
      </c>
      <c r="B122"/>
      <c r="F122" s="8">
        <f t="shared" si="1"/>
        <v>-13870745</v>
      </c>
    </row>
    <row r="123" spans="1:6" ht="16.5" customHeight="1" x14ac:dyDescent="0.3">
      <c r="A123" s="23">
        <v>45824</v>
      </c>
      <c r="B123"/>
      <c r="F123" s="8">
        <f t="shared" si="1"/>
        <v>-13870745</v>
      </c>
    </row>
    <row r="124" spans="1:6" ht="16.5" customHeight="1" x14ac:dyDescent="0.3">
      <c r="A124" s="23">
        <v>45824</v>
      </c>
      <c r="B124"/>
      <c r="F124" s="8">
        <f t="shared" si="1"/>
        <v>-13870745</v>
      </c>
    </row>
    <row r="125" spans="1:6" ht="16.5" customHeight="1" x14ac:dyDescent="0.3">
      <c r="A125" s="23">
        <v>45824</v>
      </c>
      <c r="B125"/>
      <c r="F125" s="8">
        <f t="shared" si="1"/>
        <v>-13870745</v>
      </c>
    </row>
    <row r="126" spans="1:6" ht="16.5" customHeight="1" x14ac:dyDescent="0.3">
      <c r="A126" s="23">
        <v>45824</v>
      </c>
      <c r="B126"/>
      <c r="F126" s="8">
        <f t="shared" si="1"/>
        <v>-13870745</v>
      </c>
    </row>
    <row r="127" spans="1:6" ht="16.5" customHeight="1" x14ac:dyDescent="0.3">
      <c r="A127" s="23">
        <v>45824</v>
      </c>
      <c r="B127"/>
      <c r="F127" s="8">
        <f t="shared" si="1"/>
        <v>-13870745</v>
      </c>
    </row>
    <row r="128" spans="1:6" ht="16.5" customHeight="1" x14ac:dyDescent="0.3">
      <c r="A128" s="23">
        <v>45824</v>
      </c>
      <c r="B128"/>
      <c r="F128" s="8">
        <f t="shared" si="1"/>
        <v>-13870745</v>
      </c>
    </row>
    <row r="129" spans="1:6" ht="16.5" customHeight="1" x14ac:dyDescent="0.3">
      <c r="A129" s="23">
        <v>45824</v>
      </c>
      <c r="B129"/>
      <c r="F129" s="8">
        <f t="shared" si="1"/>
        <v>-13870745</v>
      </c>
    </row>
    <row r="130" spans="1:6" ht="16.5" customHeight="1" x14ac:dyDescent="0.3">
      <c r="A130" s="23">
        <v>45824</v>
      </c>
      <c r="B130"/>
      <c r="F130" s="8">
        <f t="shared" si="1"/>
        <v>-13870745</v>
      </c>
    </row>
    <row r="131" spans="1:6" ht="16.5" customHeight="1" x14ac:dyDescent="0.3">
      <c r="A131" s="23">
        <v>45824</v>
      </c>
      <c r="B131"/>
      <c r="F131" s="8">
        <f t="shared" si="1"/>
        <v>-13870745</v>
      </c>
    </row>
    <row r="132" spans="1:6" ht="16.5" customHeight="1" x14ac:dyDescent="0.3">
      <c r="A132" s="23">
        <v>45824</v>
      </c>
      <c r="B132"/>
      <c r="F132" s="8">
        <f t="shared" si="1"/>
        <v>-13870745</v>
      </c>
    </row>
    <row r="133" spans="1:6" ht="16.5" customHeight="1" x14ac:dyDescent="0.3">
      <c r="A133" s="23">
        <v>45824</v>
      </c>
      <c r="B133"/>
      <c r="F133" s="18"/>
    </row>
    <row r="134" spans="1:6" ht="16.5" customHeight="1" x14ac:dyDescent="0.3">
      <c r="A134" s="23">
        <v>45824</v>
      </c>
      <c r="B134"/>
      <c r="F134" s="18"/>
    </row>
    <row r="135" spans="1:6" ht="16.5" customHeight="1" x14ac:dyDescent="0.3">
      <c r="A135" s="23"/>
      <c r="B135"/>
      <c r="F135" s="18"/>
    </row>
    <row r="136" spans="1:6" ht="16.5" customHeight="1" x14ac:dyDescent="0.3">
      <c r="A136" s="23"/>
      <c r="B136"/>
      <c r="F136" s="18"/>
    </row>
    <row r="137" spans="1:6" ht="16.5" customHeight="1" x14ac:dyDescent="0.3">
      <c r="A137" s="23"/>
      <c r="B137"/>
      <c r="F137" s="18"/>
    </row>
    <row r="138" spans="1:6" ht="16.5" customHeight="1" x14ac:dyDescent="0.3">
      <c r="A138" s="23"/>
      <c r="B138"/>
      <c r="F138" s="18"/>
    </row>
    <row r="139" spans="1:6" ht="16.5" customHeight="1" x14ac:dyDescent="0.3">
      <c r="A139" s="23"/>
      <c r="B139"/>
      <c r="F139" s="18"/>
    </row>
    <row r="140" spans="1:6" ht="16.5" customHeight="1" x14ac:dyDescent="0.3">
      <c r="A140" s="23"/>
      <c r="B140"/>
      <c r="F140" s="18"/>
    </row>
    <row r="141" spans="1:6" ht="16.5" customHeight="1" x14ac:dyDescent="0.3">
      <c r="A141" s="23"/>
      <c r="B141"/>
      <c r="F141" s="18"/>
    </row>
    <row r="142" spans="1:6" ht="16.5" customHeight="1" x14ac:dyDescent="0.3">
      <c r="A142" s="23"/>
      <c r="B142"/>
      <c r="F142" s="18"/>
    </row>
    <row r="143" spans="1:6" ht="16.5" customHeight="1" x14ac:dyDescent="0.3">
      <c r="A143" s="23"/>
      <c r="B143"/>
      <c r="F143" s="18"/>
    </row>
    <row r="144" spans="1:6" ht="16.5" customHeight="1" x14ac:dyDescent="0.3">
      <c r="A144" s="23"/>
      <c r="B144"/>
      <c r="F144" s="18"/>
    </row>
    <row r="145" spans="1:6" ht="16.5" customHeight="1" x14ac:dyDescent="0.3">
      <c r="A145" s="23"/>
      <c r="B145"/>
      <c r="F145" s="18"/>
    </row>
    <row r="146" spans="1:6" ht="16.5" customHeight="1" x14ac:dyDescent="0.3">
      <c r="A146" s="23"/>
      <c r="B146"/>
      <c r="F146" s="18"/>
    </row>
    <row r="147" spans="1:6" ht="16.5" customHeight="1" x14ac:dyDescent="0.3">
      <c r="A147" s="23"/>
      <c r="B147"/>
      <c r="F147" s="18"/>
    </row>
    <row r="148" spans="1:6" ht="16.5" customHeight="1" x14ac:dyDescent="0.3">
      <c r="A148" s="23"/>
      <c r="B148"/>
      <c r="F148" s="18"/>
    </row>
    <row r="149" spans="1:6" ht="16.5" customHeight="1" x14ac:dyDescent="0.3">
      <c r="A149" s="23"/>
      <c r="B149"/>
      <c r="F149" s="18"/>
    </row>
    <row r="150" spans="1:6" ht="16.5" customHeight="1" x14ac:dyDescent="0.3">
      <c r="A150" s="23"/>
      <c r="B150"/>
      <c r="F150" s="18"/>
    </row>
    <row r="151" spans="1:6" ht="16.5" customHeight="1" x14ac:dyDescent="0.3">
      <c r="A151" s="23"/>
      <c r="B151"/>
      <c r="F151" s="18"/>
    </row>
    <row r="152" spans="1:6" ht="16.5" customHeight="1" x14ac:dyDescent="0.3">
      <c r="A152" s="23"/>
      <c r="B152"/>
      <c r="F152" s="18"/>
    </row>
    <row r="153" spans="1:6" ht="16.5" customHeight="1" x14ac:dyDescent="0.3">
      <c r="A153" s="23"/>
      <c r="B153"/>
      <c r="F153" s="18"/>
    </row>
    <row r="154" spans="1:6" ht="16.5" customHeight="1" x14ac:dyDescent="0.3">
      <c r="A154" s="23"/>
      <c r="B154"/>
      <c r="F154" s="18"/>
    </row>
    <row r="155" spans="1:6" ht="16.5" customHeight="1" x14ac:dyDescent="0.3">
      <c r="A155" s="23"/>
      <c r="B155"/>
      <c r="F155" s="18"/>
    </row>
    <row r="156" spans="1:6" ht="16.5" customHeight="1" x14ac:dyDescent="0.3">
      <c r="A156" s="23"/>
      <c r="B156"/>
      <c r="F156" s="18"/>
    </row>
    <row r="157" spans="1:6" ht="16.5" customHeight="1" x14ac:dyDescent="0.3">
      <c r="A157" s="23"/>
      <c r="B157"/>
      <c r="F157" s="18"/>
    </row>
    <row r="158" spans="1:6" ht="16.5" customHeight="1" x14ac:dyDescent="0.3">
      <c r="A158" s="23"/>
      <c r="B158"/>
      <c r="F158" s="18"/>
    </row>
    <row r="159" spans="1:6" ht="16.5" customHeight="1" x14ac:dyDescent="0.3">
      <c r="A159" s="23"/>
      <c r="B159"/>
      <c r="F159" s="18"/>
    </row>
    <row r="160" spans="1:6" ht="16.5" customHeight="1" x14ac:dyDescent="0.3">
      <c r="A160" s="23"/>
      <c r="B160"/>
      <c r="F160" s="18"/>
    </row>
    <row r="161" spans="1:6" ht="16.5" customHeight="1" x14ac:dyDescent="0.3">
      <c r="A161" s="23"/>
      <c r="B161"/>
      <c r="F161" s="19"/>
    </row>
    <row r="162" spans="1:6" ht="16.5" customHeight="1" x14ac:dyDescent="0.3">
      <c r="A162" s="23"/>
      <c r="B162"/>
      <c r="F162" s="18"/>
    </row>
    <row r="163" spans="1:6" ht="16.5" customHeight="1" x14ac:dyDescent="0.3">
      <c r="A163" s="23"/>
      <c r="B163"/>
      <c r="F163" s="18"/>
    </row>
    <row r="164" spans="1:6" ht="16.5" customHeight="1" x14ac:dyDescent="0.3">
      <c r="A164" s="23"/>
      <c r="B164"/>
      <c r="F164" s="18"/>
    </row>
    <row r="165" spans="1:6" ht="16.5" customHeight="1" x14ac:dyDescent="0.3">
      <c r="A165" s="23"/>
      <c r="B165"/>
      <c r="F165" s="18"/>
    </row>
    <row r="166" spans="1:6" ht="16.5" customHeight="1" x14ac:dyDescent="0.3">
      <c r="A166" s="23"/>
      <c r="B166"/>
      <c r="F166" s="18"/>
    </row>
    <row r="167" spans="1:6" ht="16.5" customHeight="1" x14ac:dyDescent="0.3">
      <c r="A167" s="23"/>
      <c r="B167"/>
      <c r="F167" s="18"/>
    </row>
    <row r="168" spans="1:6" ht="16.5" customHeight="1" x14ac:dyDescent="0.3">
      <c r="A168" s="23"/>
      <c r="B168"/>
      <c r="F168" s="18"/>
    </row>
    <row r="169" spans="1:6" ht="16.5" customHeight="1" x14ac:dyDescent="0.3">
      <c r="A169" s="23"/>
      <c r="B169"/>
      <c r="F169" s="18"/>
    </row>
    <row r="170" spans="1:6" ht="16.5" customHeight="1" x14ac:dyDescent="0.3">
      <c r="A170" s="23"/>
      <c r="B170"/>
      <c r="F170" s="18"/>
    </row>
    <row r="171" spans="1:6" ht="16.5" customHeight="1" x14ac:dyDescent="0.3">
      <c r="A171" s="23"/>
      <c r="B171"/>
      <c r="F171" s="18"/>
    </row>
    <row r="172" spans="1:6" ht="16.5" customHeight="1" x14ac:dyDescent="0.3">
      <c r="A172" s="23"/>
      <c r="B172"/>
      <c r="F172" s="18"/>
    </row>
    <row r="173" spans="1:6" ht="16.5" customHeight="1" x14ac:dyDescent="0.3">
      <c r="A173" s="23"/>
      <c r="B173"/>
      <c r="F173" s="18"/>
    </row>
    <row r="174" spans="1:6" ht="16.5" customHeight="1" x14ac:dyDescent="0.3">
      <c r="A174" s="23"/>
      <c r="B174"/>
      <c r="F174" s="18"/>
    </row>
    <row r="175" spans="1:6" ht="16.5" customHeight="1" x14ac:dyDescent="0.3">
      <c r="A175" s="23"/>
      <c r="B175"/>
      <c r="F175" s="18"/>
    </row>
    <row r="176" spans="1:6" ht="16.5" customHeight="1" x14ac:dyDescent="0.3">
      <c r="A176" s="23"/>
      <c r="B176"/>
      <c r="F176" s="18"/>
    </row>
    <row r="177" spans="1:6" ht="16.5" customHeight="1" x14ac:dyDescent="0.3">
      <c r="A177" s="23"/>
      <c r="B177"/>
      <c r="F177" s="18"/>
    </row>
    <row r="178" spans="1:6" ht="16.5" customHeight="1" x14ac:dyDescent="0.3">
      <c r="A178" s="23"/>
      <c r="B178"/>
      <c r="F178" s="18"/>
    </row>
    <row r="179" spans="1:6" ht="16.5" customHeight="1" x14ac:dyDescent="0.3">
      <c r="A179" s="23"/>
      <c r="B179"/>
      <c r="F179" s="18"/>
    </row>
    <row r="180" spans="1:6" ht="16.5" customHeight="1" x14ac:dyDescent="0.3">
      <c r="A180" s="23"/>
      <c r="B180"/>
      <c r="F180" s="18"/>
    </row>
    <row r="181" spans="1:6" ht="16.5" customHeight="1" x14ac:dyDescent="0.3">
      <c r="A181" s="23"/>
      <c r="B181"/>
      <c r="F181" s="18"/>
    </row>
    <row r="182" spans="1:6" ht="16.5" customHeight="1" x14ac:dyDescent="0.3">
      <c r="A182" s="23"/>
      <c r="B182"/>
      <c r="F182" s="18"/>
    </row>
    <row r="183" spans="1:6" ht="16.5" customHeight="1" x14ac:dyDescent="0.3">
      <c r="A183" s="23"/>
      <c r="B183"/>
      <c r="F183" s="18"/>
    </row>
    <row r="184" spans="1:6" ht="16.5" customHeight="1" x14ac:dyDescent="0.3">
      <c r="A184" s="23"/>
      <c r="B184"/>
      <c r="F184" s="18"/>
    </row>
    <row r="185" spans="1:6" ht="16.5" customHeight="1" x14ac:dyDescent="0.3">
      <c r="A185" s="23"/>
      <c r="B185"/>
      <c r="F185" s="18"/>
    </row>
    <row r="186" spans="1:6" ht="16.5" customHeight="1" x14ac:dyDescent="0.3">
      <c r="A186" s="23"/>
      <c r="B186"/>
      <c r="F186" s="18"/>
    </row>
    <row r="187" spans="1:6" ht="16.5" customHeight="1" x14ac:dyDescent="0.3">
      <c r="A187" s="23"/>
      <c r="B187"/>
      <c r="F187" s="18"/>
    </row>
    <row r="188" spans="1:6" ht="16.5" customHeight="1" x14ac:dyDescent="0.3">
      <c r="A188" s="23"/>
      <c r="B188"/>
      <c r="F188" s="18"/>
    </row>
    <row r="189" spans="1:6" ht="16.5" customHeight="1" x14ac:dyDescent="0.3">
      <c r="A189" s="23"/>
      <c r="B189"/>
      <c r="F189" s="18"/>
    </row>
    <row r="190" spans="1:6" ht="16.5" customHeight="1" x14ac:dyDescent="0.3">
      <c r="A190" s="23"/>
      <c r="B190"/>
      <c r="F190" s="18"/>
    </row>
    <row r="191" spans="1:6" ht="16.5" customHeight="1" x14ac:dyDescent="0.3">
      <c r="A191" s="23"/>
      <c r="B191"/>
      <c r="F191" s="18"/>
    </row>
    <row r="192" spans="1:6" ht="16.5" customHeight="1" x14ac:dyDescent="0.3">
      <c r="A192" s="23"/>
      <c r="B192"/>
      <c r="F192" s="18"/>
    </row>
    <row r="193" spans="1:6" ht="16.5" customHeight="1" x14ac:dyDescent="0.3">
      <c r="A193" s="23"/>
      <c r="B193"/>
      <c r="F193" s="18"/>
    </row>
    <row r="194" spans="1:6" ht="16.5" customHeight="1" x14ac:dyDescent="0.3">
      <c r="A194" s="23"/>
      <c r="B194"/>
      <c r="F194" s="18"/>
    </row>
    <row r="195" spans="1:6" ht="16.5" customHeight="1" x14ac:dyDescent="0.3">
      <c r="A195" s="23"/>
      <c r="B195"/>
      <c r="F195" s="18"/>
    </row>
    <row r="196" spans="1:6" ht="16.5" customHeight="1" x14ac:dyDescent="0.3">
      <c r="A196" s="23"/>
      <c r="B196"/>
      <c r="F196" s="18"/>
    </row>
    <row r="197" spans="1:6" ht="16.5" customHeight="1" x14ac:dyDescent="0.3">
      <c r="A197" s="23"/>
      <c r="B197"/>
      <c r="F197" s="18"/>
    </row>
    <row r="198" spans="1:6" ht="16.5" customHeight="1" x14ac:dyDescent="0.3">
      <c r="A198" s="23"/>
      <c r="B198"/>
      <c r="F198" s="18"/>
    </row>
    <row r="199" spans="1:6" ht="16.5" customHeight="1" x14ac:dyDescent="0.3">
      <c r="A199" s="23"/>
      <c r="B199"/>
      <c r="F199" s="18"/>
    </row>
    <row r="200" spans="1:6" ht="16.5" customHeight="1" x14ac:dyDescent="0.3">
      <c r="A200" s="23"/>
      <c r="B200"/>
      <c r="F200" s="18"/>
    </row>
    <row r="201" spans="1:6" ht="16.5" customHeight="1" x14ac:dyDescent="0.3">
      <c r="A201" s="23"/>
      <c r="B201"/>
      <c r="F201" s="18"/>
    </row>
    <row r="202" spans="1:6" ht="16.5" customHeight="1" x14ac:dyDescent="0.3">
      <c r="A202" s="23"/>
      <c r="B202"/>
      <c r="F202" s="18"/>
    </row>
    <row r="203" spans="1:6" ht="16.5" customHeight="1" x14ac:dyDescent="0.3">
      <c r="A203" s="23"/>
      <c r="B203"/>
      <c r="F203" s="18"/>
    </row>
    <row r="204" spans="1:6" ht="16.5" customHeight="1" x14ac:dyDescent="0.3">
      <c r="A204" s="23"/>
      <c r="B204"/>
      <c r="F204" s="18"/>
    </row>
    <row r="205" spans="1:6" ht="16.5" customHeight="1" x14ac:dyDescent="0.3">
      <c r="A205" s="23"/>
      <c r="B205"/>
      <c r="F205" s="18"/>
    </row>
    <row r="206" spans="1:6" ht="16.5" customHeight="1" x14ac:dyDescent="0.3">
      <c r="A206" s="23"/>
      <c r="B206"/>
      <c r="F206" s="18"/>
    </row>
    <row r="207" spans="1:6" ht="16.5" customHeight="1" x14ac:dyDescent="0.3">
      <c r="A207" s="23"/>
      <c r="B207"/>
      <c r="F207" s="18"/>
    </row>
    <row r="208" spans="1:6" ht="16.5" customHeight="1" x14ac:dyDescent="0.3">
      <c r="A208" s="23"/>
      <c r="B208"/>
      <c r="F208" s="18"/>
    </row>
    <row r="209" spans="1:6" ht="16.5" customHeight="1" x14ac:dyDescent="0.3">
      <c r="A209" s="23"/>
      <c r="B209"/>
      <c r="F209" s="18"/>
    </row>
    <row r="210" spans="1:6" ht="16.5" customHeight="1" x14ac:dyDescent="0.3">
      <c r="A210" s="23"/>
      <c r="B210"/>
      <c r="F210" s="18"/>
    </row>
    <row r="211" spans="1:6" ht="16.5" customHeight="1" x14ac:dyDescent="0.3">
      <c r="A211" s="23"/>
      <c r="B211"/>
      <c r="F211" s="18"/>
    </row>
    <row r="212" spans="1:6" ht="16.5" customHeight="1" x14ac:dyDescent="0.3">
      <c r="A212" s="23"/>
      <c r="B212"/>
      <c r="F212" s="18"/>
    </row>
    <row r="213" spans="1:6" ht="16.5" customHeight="1" x14ac:dyDescent="0.3">
      <c r="A213" s="23"/>
      <c r="B213"/>
      <c r="F213" s="18"/>
    </row>
    <row r="214" spans="1:6" ht="16.5" customHeight="1" x14ac:dyDescent="0.3">
      <c r="A214" s="23"/>
      <c r="B214"/>
      <c r="F214" s="18"/>
    </row>
    <row r="215" spans="1:6" ht="16.5" customHeight="1" x14ac:dyDescent="0.3">
      <c r="A215" s="23"/>
      <c r="B215"/>
      <c r="F215" s="18"/>
    </row>
    <row r="216" spans="1:6" ht="16.5" customHeight="1" x14ac:dyDescent="0.3">
      <c r="A216" s="23"/>
      <c r="B216"/>
      <c r="F216" s="18"/>
    </row>
    <row r="217" spans="1:6" ht="16.5" customHeight="1" x14ac:dyDescent="0.3">
      <c r="A217" s="23"/>
      <c r="B217"/>
      <c r="F217" s="18"/>
    </row>
    <row r="218" spans="1:6" ht="16.5" customHeight="1" x14ac:dyDescent="0.3">
      <c r="A218" s="23"/>
      <c r="B218"/>
      <c r="F218" s="18"/>
    </row>
    <row r="219" spans="1:6" ht="16.5" customHeight="1" x14ac:dyDescent="0.3">
      <c r="A219" s="23"/>
      <c r="B219"/>
      <c r="F219" s="18"/>
    </row>
    <row r="220" spans="1:6" ht="16.5" customHeight="1" x14ac:dyDescent="0.3">
      <c r="A220" s="23"/>
      <c r="B220"/>
      <c r="F220" s="18"/>
    </row>
    <row r="221" spans="1:6" ht="16.5" customHeight="1" x14ac:dyDescent="0.3">
      <c r="A221" s="23"/>
      <c r="B221"/>
      <c r="F221" s="18"/>
    </row>
    <row r="222" spans="1:6" ht="16.5" customHeight="1" x14ac:dyDescent="0.3">
      <c r="A222" s="23"/>
      <c r="B222"/>
      <c r="F222" s="18"/>
    </row>
    <row r="223" spans="1:6" ht="16.5" customHeight="1" x14ac:dyDescent="0.3">
      <c r="A223" s="23"/>
      <c r="B223"/>
      <c r="F223" s="18"/>
    </row>
    <row r="224" spans="1:6" ht="16.5" customHeight="1" x14ac:dyDescent="0.3">
      <c r="A224" s="23"/>
      <c r="B224"/>
      <c r="F224" s="18"/>
    </row>
    <row r="225" spans="1:6" ht="16.5" customHeight="1" x14ac:dyDescent="0.3">
      <c r="A225" s="23"/>
      <c r="B225"/>
      <c r="F225" s="18"/>
    </row>
    <row r="226" spans="1:6" ht="16.5" customHeight="1" x14ac:dyDescent="0.3">
      <c r="A226" s="23"/>
      <c r="B226"/>
      <c r="F226" s="18"/>
    </row>
    <row r="227" spans="1:6" ht="16.5" customHeight="1" x14ac:dyDescent="0.3">
      <c r="A227" s="23"/>
      <c r="B227"/>
      <c r="F227" s="18"/>
    </row>
    <row r="228" spans="1:6" ht="16.5" customHeight="1" x14ac:dyDescent="0.3">
      <c r="A228" s="23"/>
      <c r="B228"/>
      <c r="F228" s="18"/>
    </row>
    <row r="229" spans="1:6" ht="16.5" customHeight="1" x14ac:dyDescent="0.3">
      <c r="A229" s="23"/>
      <c r="B229"/>
      <c r="F229" s="18"/>
    </row>
    <row r="230" spans="1:6" ht="16.5" customHeight="1" x14ac:dyDescent="0.3">
      <c r="A230" s="23"/>
      <c r="B230"/>
      <c r="F230" s="18"/>
    </row>
    <row r="231" spans="1:6" ht="16.5" customHeight="1" x14ac:dyDescent="0.3">
      <c r="A231" s="23"/>
      <c r="B231"/>
      <c r="F231" s="18"/>
    </row>
    <row r="232" spans="1:6" ht="16.5" customHeight="1" x14ac:dyDescent="0.3">
      <c r="A232" s="23"/>
      <c r="B232"/>
      <c r="F232" s="18"/>
    </row>
    <row r="233" spans="1:6" ht="16.5" customHeight="1" x14ac:dyDescent="0.3">
      <c r="A233" s="23"/>
      <c r="B233"/>
      <c r="F233" s="18"/>
    </row>
    <row r="234" spans="1:6" ht="16.5" customHeight="1" x14ac:dyDescent="0.3">
      <c r="A234" s="23"/>
      <c r="B234"/>
      <c r="F234" s="18"/>
    </row>
    <row r="235" spans="1:6" ht="16.5" customHeight="1" x14ac:dyDescent="0.3">
      <c r="A235" s="23"/>
      <c r="B235"/>
      <c r="F235" s="18"/>
    </row>
    <row r="236" spans="1:6" ht="16.5" customHeight="1" x14ac:dyDescent="0.3">
      <c r="A236" s="23"/>
      <c r="B236"/>
      <c r="F236" s="18"/>
    </row>
    <row r="237" spans="1:6" ht="16.5" customHeight="1" x14ac:dyDescent="0.3">
      <c r="A237" s="23"/>
      <c r="B237"/>
      <c r="F237" s="18"/>
    </row>
    <row r="238" spans="1:6" ht="16.5" customHeight="1" x14ac:dyDescent="0.3">
      <c r="A238" s="23"/>
      <c r="B238"/>
      <c r="F238" s="18"/>
    </row>
    <row r="239" spans="1:6" ht="16.5" customHeight="1" x14ac:dyDescent="0.3">
      <c r="A239" s="23"/>
      <c r="B239"/>
      <c r="F239" s="18"/>
    </row>
    <row r="240" spans="1:6" ht="16.5" customHeight="1" x14ac:dyDescent="0.3">
      <c r="A240" s="23"/>
      <c r="B240"/>
      <c r="F240" s="18"/>
    </row>
    <row r="241" spans="1:6" ht="16.5" customHeight="1" x14ac:dyDescent="0.3">
      <c r="A241" s="23"/>
      <c r="B241"/>
      <c r="F241" s="18"/>
    </row>
    <row r="242" spans="1:6" ht="16.5" customHeight="1" x14ac:dyDescent="0.3">
      <c r="A242" s="23"/>
      <c r="B242"/>
      <c r="F242" s="18"/>
    </row>
    <row r="243" spans="1:6" ht="16.5" customHeight="1" x14ac:dyDescent="0.3">
      <c r="A243" s="23"/>
      <c r="B243"/>
      <c r="F243" s="18"/>
    </row>
    <row r="244" spans="1:6" ht="16.5" customHeight="1" x14ac:dyDescent="0.3">
      <c r="A244" s="23"/>
      <c r="B244"/>
      <c r="F244" s="18"/>
    </row>
    <row r="245" spans="1:6" ht="16.5" customHeight="1" x14ac:dyDescent="0.3">
      <c r="A245" s="23"/>
      <c r="B245"/>
      <c r="F245" s="18"/>
    </row>
    <row r="246" spans="1:6" ht="16.5" customHeight="1" x14ac:dyDescent="0.3">
      <c r="A246" s="23"/>
      <c r="B246"/>
      <c r="F246" s="18"/>
    </row>
    <row r="247" spans="1:6" ht="16.5" customHeight="1" x14ac:dyDescent="0.3">
      <c r="A247" s="23"/>
      <c r="B247"/>
      <c r="F247" s="18"/>
    </row>
    <row r="248" spans="1:6" ht="23.5" customHeight="1" x14ac:dyDescent="0.3">
      <c r="A248" s="23"/>
      <c r="B248"/>
      <c r="C248" s="20"/>
      <c r="F248" s="18"/>
    </row>
    <row r="249" spans="1:6" ht="25.9" customHeight="1" x14ac:dyDescent="0.3">
      <c r="A249" s="23"/>
      <c r="B249"/>
      <c r="C249" s="20"/>
      <c r="F249" s="18"/>
    </row>
    <row r="250" spans="1:6" ht="16.5" customHeight="1" x14ac:dyDescent="0.3">
      <c r="A250" s="23"/>
      <c r="B250"/>
      <c r="C250" s="20"/>
      <c r="F250" s="18"/>
    </row>
    <row r="251" spans="1:6" ht="16.5" customHeight="1" x14ac:dyDescent="0.3">
      <c r="A251" s="23"/>
      <c r="B251"/>
      <c r="C251" s="20"/>
      <c r="F251" s="18"/>
    </row>
    <row r="252" spans="1:6" ht="16.5" customHeight="1" x14ac:dyDescent="0.3">
      <c r="A252" s="23"/>
      <c r="B252"/>
      <c r="C252" s="20"/>
      <c r="F252" s="18"/>
    </row>
    <row r="253" spans="1:6" ht="16.5" customHeight="1" x14ac:dyDescent="0.3">
      <c r="A253" s="23"/>
      <c r="B253"/>
      <c r="F253" s="18"/>
    </row>
    <row r="254" spans="1:6" ht="16.5" customHeight="1" x14ac:dyDescent="0.3">
      <c r="A254" s="23"/>
      <c r="B254"/>
      <c r="F254" s="18"/>
    </row>
    <row r="255" spans="1:6" ht="16.5" customHeight="1" x14ac:dyDescent="0.3">
      <c r="A255" s="23"/>
      <c r="B255"/>
      <c r="F255" s="18"/>
    </row>
    <row r="256" spans="1:6" ht="16.5" customHeight="1" x14ac:dyDescent="0.3">
      <c r="A256" s="23"/>
      <c r="B256"/>
      <c r="F256" s="18"/>
    </row>
    <row r="257" spans="1:6" ht="16.5" customHeight="1" x14ac:dyDescent="0.3">
      <c r="A257" s="23"/>
      <c r="B257"/>
      <c r="F257" s="18"/>
    </row>
    <row r="258" spans="1:6" ht="16.5" customHeight="1" x14ac:dyDescent="0.3">
      <c r="A258" s="23"/>
      <c r="B258"/>
      <c r="F258" s="18"/>
    </row>
    <row r="259" spans="1:6" ht="16.5" customHeight="1" x14ac:dyDescent="0.3">
      <c r="A259" s="23"/>
      <c r="B259"/>
      <c r="F259" s="18"/>
    </row>
    <row r="260" spans="1:6" ht="16.5" customHeight="1" x14ac:dyDescent="0.3">
      <c r="A260" s="23"/>
      <c r="B260"/>
      <c r="F260" s="18"/>
    </row>
    <row r="261" spans="1:6" ht="16.5" customHeight="1" x14ac:dyDescent="0.3">
      <c r="A261" s="23"/>
      <c r="B261"/>
      <c r="F261" s="18"/>
    </row>
    <row r="262" spans="1:6" ht="16.5" customHeight="1" x14ac:dyDescent="0.3">
      <c r="A262" s="23"/>
      <c r="B262"/>
      <c r="F262" s="18"/>
    </row>
    <row r="263" spans="1:6" ht="16.5" customHeight="1" x14ac:dyDescent="0.3">
      <c r="A263" s="23"/>
      <c r="B263"/>
      <c r="F263" s="18"/>
    </row>
    <row r="264" spans="1:6" ht="16.5" customHeight="1" x14ac:dyDescent="0.3">
      <c r="A264" s="23"/>
      <c r="B264"/>
      <c r="F264" s="18"/>
    </row>
    <row r="265" spans="1:6" ht="16.5" customHeight="1" x14ac:dyDescent="0.3">
      <c r="A265" s="23"/>
      <c r="B265"/>
      <c r="F265" s="18"/>
    </row>
    <row r="266" spans="1:6" ht="16.5" customHeight="1" x14ac:dyDescent="0.3">
      <c r="A266" s="23"/>
      <c r="B266"/>
      <c r="F266" s="18"/>
    </row>
    <row r="267" spans="1:6" ht="16.5" customHeight="1" x14ac:dyDescent="0.3">
      <c r="A267" s="23"/>
      <c r="B267"/>
      <c r="F267" s="18"/>
    </row>
    <row r="268" spans="1:6" ht="16.5" customHeight="1" x14ac:dyDescent="0.3">
      <c r="A268" s="23"/>
      <c r="B268"/>
      <c r="F268" s="18"/>
    </row>
    <row r="269" spans="1:6" ht="16.5" customHeight="1" x14ac:dyDescent="0.3">
      <c r="A269" s="23"/>
      <c r="B269"/>
      <c r="F269" s="18"/>
    </row>
    <row r="270" spans="1:6" ht="16.5" customHeight="1" x14ac:dyDescent="0.3">
      <c r="A270" s="23"/>
      <c r="B270"/>
      <c r="F270" s="18"/>
    </row>
    <row r="271" spans="1:6" ht="16.5" customHeight="1" x14ac:dyDescent="0.3">
      <c r="A271" s="23"/>
      <c r="B271"/>
      <c r="F271" s="18"/>
    </row>
    <row r="272" spans="1:6" ht="16.5" customHeight="1" x14ac:dyDescent="0.3">
      <c r="A272" s="23"/>
      <c r="B272"/>
      <c r="F272" s="18"/>
    </row>
    <row r="273" spans="1:6" ht="16.5" customHeight="1" x14ac:dyDescent="0.3">
      <c r="A273" s="23"/>
      <c r="B273"/>
      <c r="F273" s="18"/>
    </row>
    <row r="274" spans="1:6" ht="16.5" customHeight="1" x14ac:dyDescent="0.3">
      <c r="A274" s="23"/>
      <c r="B274"/>
      <c r="F274" s="18"/>
    </row>
    <row r="275" spans="1:6" ht="16.5" customHeight="1" x14ac:dyDescent="0.3">
      <c r="A275" s="23"/>
      <c r="B275"/>
      <c r="F275" s="18"/>
    </row>
    <row r="276" spans="1:6" ht="16.5" customHeight="1" x14ac:dyDescent="0.3">
      <c r="A276" s="23"/>
      <c r="B276"/>
      <c r="F276" s="18"/>
    </row>
    <row r="277" spans="1:6" ht="16.5" customHeight="1" x14ac:dyDescent="0.3">
      <c r="A277" s="23"/>
      <c r="B277"/>
      <c r="F277" s="18"/>
    </row>
    <row r="278" spans="1:6" ht="16.5" customHeight="1" x14ac:dyDescent="0.3">
      <c r="A278" s="23"/>
      <c r="B278"/>
      <c r="F278" s="18"/>
    </row>
    <row r="279" spans="1:6" ht="16.5" customHeight="1" x14ac:dyDescent="0.3">
      <c r="A279" s="23"/>
      <c r="B279"/>
      <c r="F279" s="18"/>
    </row>
    <row r="280" spans="1:6" ht="16.5" customHeight="1" x14ac:dyDescent="0.3">
      <c r="A280" s="23"/>
      <c r="B280"/>
      <c r="F280" s="18"/>
    </row>
    <row r="281" spans="1:6" ht="16.5" customHeight="1" x14ac:dyDescent="0.3">
      <c r="A281" s="23"/>
      <c r="B281"/>
      <c r="F281" s="18"/>
    </row>
    <row r="282" spans="1:6" ht="16.5" customHeight="1" x14ac:dyDescent="0.3">
      <c r="A282" s="23"/>
      <c r="B282"/>
      <c r="F282" s="18"/>
    </row>
    <row r="283" spans="1:6" ht="16.5" customHeight="1" x14ac:dyDescent="0.3">
      <c r="A283" s="23"/>
      <c r="B283"/>
      <c r="F283" s="18"/>
    </row>
    <row r="284" spans="1:6" ht="16.5" customHeight="1" x14ac:dyDescent="0.3">
      <c r="A284" s="23"/>
      <c r="B284"/>
      <c r="F284" s="18"/>
    </row>
    <row r="285" spans="1:6" ht="16.5" customHeight="1" x14ac:dyDescent="0.3">
      <c r="A285" s="23"/>
      <c r="B285"/>
      <c r="F285" s="18"/>
    </row>
    <row r="286" spans="1:6" ht="16.5" customHeight="1" x14ac:dyDescent="0.3">
      <c r="A286" s="23"/>
      <c r="B286"/>
      <c r="F286" s="18"/>
    </row>
    <row r="287" spans="1:6" ht="16.5" customHeight="1" x14ac:dyDescent="0.3">
      <c r="A287" s="23"/>
      <c r="B287"/>
      <c r="F287" s="18"/>
    </row>
    <row r="288" spans="1:6" ht="16.5" customHeight="1" x14ac:dyDescent="0.3">
      <c r="A288" s="23"/>
      <c r="B288"/>
      <c r="F288" s="18"/>
    </row>
    <row r="289" spans="1:6" ht="16.5" customHeight="1" x14ac:dyDescent="0.3">
      <c r="A289" s="23"/>
      <c r="B289"/>
      <c r="F289" s="18"/>
    </row>
    <row r="290" spans="1:6" ht="16.5" customHeight="1" x14ac:dyDescent="0.3">
      <c r="A290" s="23"/>
      <c r="B290"/>
      <c r="F290" s="18"/>
    </row>
    <row r="291" spans="1:6" ht="16.5" customHeight="1" x14ac:dyDescent="0.3">
      <c r="A291" s="23"/>
      <c r="B291"/>
      <c r="F291" s="18"/>
    </row>
    <row r="292" spans="1:6" ht="16.5" customHeight="1" x14ac:dyDescent="0.3">
      <c r="A292" s="23"/>
      <c r="B292"/>
      <c r="F292" s="18"/>
    </row>
    <row r="293" spans="1:6" ht="16.5" customHeight="1" x14ac:dyDescent="0.3">
      <c r="A293" s="23"/>
      <c r="B293"/>
      <c r="F293" s="18"/>
    </row>
    <row r="294" spans="1:6" ht="16.5" customHeight="1" x14ac:dyDescent="0.3">
      <c r="A294" s="23"/>
      <c r="B294"/>
      <c r="F294" s="18"/>
    </row>
    <row r="295" spans="1:6" ht="16.5" customHeight="1" x14ac:dyDescent="0.3">
      <c r="A295" s="23"/>
      <c r="B295"/>
      <c r="F295" s="18"/>
    </row>
    <row r="296" spans="1:6" ht="16.5" customHeight="1" x14ac:dyDescent="0.3">
      <c r="A296" s="23"/>
      <c r="B296"/>
      <c r="F296" s="18"/>
    </row>
    <row r="297" spans="1:6" ht="16.5" customHeight="1" x14ac:dyDescent="0.3">
      <c r="A297" s="23"/>
      <c r="B297"/>
      <c r="F297" s="18"/>
    </row>
    <row r="298" spans="1:6" ht="16.5" customHeight="1" x14ac:dyDescent="0.3">
      <c r="A298" s="23"/>
      <c r="B298"/>
      <c r="F298" s="18"/>
    </row>
    <row r="299" spans="1:6" ht="16.5" customHeight="1" x14ac:dyDescent="0.3">
      <c r="A299" s="23"/>
      <c r="B299"/>
      <c r="F299" s="18"/>
    </row>
    <row r="300" spans="1:6" ht="16.5" customHeight="1" x14ac:dyDescent="0.3">
      <c r="A300" s="23"/>
      <c r="B300"/>
      <c r="F300" s="18"/>
    </row>
    <row r="301" spans="1:6" ht="16.5" customHeight="1" x14ac:dyDescent="0.3">
      <c r="A301" s="23"/>
      <c r="B301"/>
      <c r="F301" s="18"/>
    </row>
    <row r="302" spans="1:6" ht="16.5" customHeight="1" x14ac:dyDescent="0.3">
      <c r="A302" s="23"/>
      <c r="B302"/>
      <c r="F302" s="18"/>
    </row>
    <row r="303" spans="1:6" ht="16.5" customHeight="1" x14ac:dyDescent="0.3">
      <c r="A303" s="23"/>
      <c r="B303"/>
      <c r="F303" s="18"/>
    </row>
    <row r="304" spans="1:6" ht="16.5" customHeight="1" x14ac:dyDescent="0.3">
      <c r="A304" s="23"/>
      <c r="B304"/>
      <c r="F304" s="18"/>
    </row>
    <row r="305" spans="1:6" ht="16.5" customHeight="1" x14ac:dyDescent="0.3">
      <c r="A305" s="23"/>
      <c r="B305"/>
      <c r="F305" s="18"/>
    </row>
    <row r="306" spans="1:6" ht="16.5" customHeight="1" x14ac:dyDescent="0.3">
      <c r="A306" s="23"/>
      <c r="B306"/>
      <c r="F306" s="18"/>
    </row>
    <row r="307" spans="1:6" ht="16.5" customHeight="1" x14ac:dyDescent="0.3">
      <c r="A307" s="23"/>
      <c r="B307"/>
      <c r="F307" s="18"/>
    </row>
    <row r="308" spans="1:6" ht="16.5" customHeight="1" x14ac:dyDescent="0.3">
      <c r="A308" s="23"/>
      <c r="B308"/>
      <c r="F308" s="18"/>
    </row>
    <row r="309" spans="1:6" ht="16.5" customHeight="1" x14ac:dyDescent="0.3">
      <c r="A309" s="23"/>
      <c r="B309"/>
      <c r="F309" s="18"/>
    </row>
    <row r="310" spans="1:6" ht="16.5" customHeight="1" x14ac:dyDescent="0.3">
      <c r="A310" s="23"/>
      <c r="B310"/>
      <c r="F310" s="18"/>
    </row>
    <row r="311" spans="1:6" ht="16.5" customHeight="1" x14ac:dyDescent="0.3">
      <c r="A311" s="23"/>
      <c r="B311"/>
      <c r="F311" s="18"/>
    </row>
    <row r="312" spans="1:6" ht="16.5" customHeight="1" x14ac:dyDescent="0.3">
      <c r="A312" s="23"/>
      <c r="B312"/>
      <c r="F312" s="18"/>
    </row>
    <row r="313" spans="1:6" ht="16.5" customHeight="1" x14ac:dyDescent="0.3">
      <c r="A313" s="23"/>
      <c r="B313"/>
      <c r="F313" s="18"/>
    </row>
    <row r="314" spans="1:6" ht="16.5" customHeight="1" x14ac:dyDescent="0.3">
      <c r="A314" s="23"/>
      <c r="B314"/>
      <c r="F314" s="18"/>
    </row>
    <row r="315" spans="1:6" ht="16.5" customHeight="1" x14ac:dyDescent="0.3">
      <c r="A315" s="23"/>
      <c r="B315"/>
      <c r="F315" s="18"/>
    </row>
    <row r="316" spans="1:6" ht="16.5" customHeight="1" x14ac:dyDescent="0.3">
      <c r="A316" s="23"/>
      <c r="B316"/>
      <c r="F316" s="18"/>
    </row>
    <row r="317" spans="1:6" ht="16.5" customHeight="1" x14ac:dyDescent="0.3">
      <c r="A317" s="23"/>
      <c r="B317"/>
      <c r="F317" s="18"/>
    </row>
    <row r="318" spans="1:6" ht="16.5" customHeight="1" x14ac:dyDescent="0.3">
      <c r="A318" s="23"/>
      <c r="B318"/>
      <c r="F318" s="18"/>
    </row>
    <row r="319" spans="1:6" ht="16.5" customHeight="1" x14ac:dyDescent="0.3">
      <c r="A319" s="23"/>
      <c r="B319"/>
      <c r="F319" s="18"/>
    </row>
    <row r="320" spans="1:6" ht="16.5" customHeight="1" x14ac:dyDescent="0.3">
      <c r="A320" s="23"/>
      <c r="B320"/>
      <c r="F320" s="18"/>
    </row>
    <row r="321" spans="1:6" ht="16.5" customHeight="1" x14ac:dyDescent="0.3">
      <c r="A321" s="23"/>
      <c r="B321"/>
      <c r="F321" s="18"/>
    </row>
    <row r="322" spans="1:6" ht="16.5" customHeight="1" x14ac:dyDescent="0.3">
      <c r="A322" s="23"/>
      <c r="B322"/>
      <c r="F322" s="18"/>
    </row>
    <row r="323" spans="1:6" ht="16.5" customHeight="1" x14ac:dyDescent="0.3">
      <c r="A323" s="23"/>
      <c r="B323"/>
      <c r="F323" s="18"/>
    </row>
    <row r="324" spans="1:6" ht="16.5" customHeight="1" x14ac:dyDescent="0.3">
      <c r="A324" s="23"/>
      <c r="B324"/>
      <c r="F324" s="18"/>
    </row>
    <row r="325" spans="1:6" ht="16.5" customHeight="1" x14ac:dyDescent="0.3">
      <c r="A325" s="23"/>
      <c r="B325"/>
      <c r="F325" s="18"/>
    </row>
    <row r="326" spans="1:6" ht="16.5" customHeight="1" x14ac:dyDescent="0.3">
      <c r="A326" s="23"/>
      <c r="B326"/>
      <c r="F326" s="18"/>
    </row>
    <row r="327" spans="1:6" ht="16.5" customHeight="1" x14ac:dyDescent="0.3">
      <c r="A327" s="23"/>
      <c r="B327"/>
      <c r="F327" s="18"/>
    </row>
    <row r="328" spans="1:6" ht="16.5" customHeight="1" x14ac:dyDescent="0.3">
      <c r="A328" s="23"/>
      <c r="B328"/>
      <c r="F328" s="18"/>
    </row>
    <row r="329" spans="1:6" ht="16.5" customHeight="1" x14ac:dyDescent="0.3">
      <c r="A329" s="23"/>
      <c r="B329"/>
      <c r="F329" s="18"/>
    </row>
    <row r="330" spans="1:6" ht="16.5" customHeight="1" x14ac:dyDescent="0.3">
      <c r="A330" s="23"/>
      <c r="B330"/>
      <c r="F330" s="18"/>
    </row>
    <row r="331" spans="1:6" ht="16.5" customHeight="1" x14ac:dyDescent="0.3">
      <c r="A331" s="23"/>
      <c r="B331"/>
      <c r="F331" s="18"/>
    </row>
    <row r="332" spans="1:6" ht="16.5" customHeight="1" x14ac:dyDescent="0.3">
      <c r="A332" s="23"/>
      <c r="B332"/>
      <c r="F332" s="18"/>
    </row>
    <row r="333" spans="1:6" ht="16.5" customHeight="1" x14ac:dyDescent="0.3">
      <c r="A333" s="23"/>
      <c r="B333"/>
      <c r="F333" s="18"/>
    </row>
    <row r="334" spans="1:6" ht="16.5" customHeight="1" x14ac:dyDescent="0.3">
      <c r="A334" s="23"/>
      <c r="B334"/>
      <c r="F334" s="18"/>
    </row>
    <row r="335" spans="1:6" ht="16.5" customHeight="1" x14ac:dyDescent="0.3">
      <c r="A335" s="23"/>
      <c r="B335"/>
      <c r="F335" s="18"/>
    </row>
    <row r="336" spans="1:6" ht="16.5" customHeight="1" x14ac:dyDescent="0.3">
      <c r="A336" s="23"/>
      <c r="B336"/>
      <c r="F336" s="18"/>
    </row>
    <row r="337" spans="1:6" ht="16.5" customHeight="1" x14ac:dyDescent="0.3">
      <c r="A337" s="23"/>
      <c r="B337"/>
      <c r="F337" s="18"/>
    </row>
    <row r="338" spans="1:6" ht="16.5" customHeight="1" x14ac:dyDescent="0.3">
      <c r="A338" s="23"/>
      <c r="B338"/>
      <c r="F338" s="18"/>
    </row>
    <row r="339" spans="1:6" ht="16.5" customHeight="1" x14ac:dyDescent="0.3">
      <c r="A339" s="23"/>
      <c r="B339"/>
      <c r="F339" s="18"/>
    </row>
    <row r="340" spans="1:6" ht="16.5" customHeight="1" x14ac:dyDescent="0.3">
      <c r="A340" s="23"/>
      <c r="B340"/>
      <c r="F340" s="18"/>
    </row>
    <row r="341" spans="1:6" ht="16.5" customHeight="1" x14ac:dyDescent="0.3">
      <c r="A341" s="23"/>
      <c r="B341"/>
      <c r="F341" s="18"/>
    </row>
    <row r="342" spans="1:6" ht="16.5" customHeight="1" x14ac:dyDescent="0.3">
      <c r="A342" s="23"/>
      <c r="B342"/>
      <c r="F342" s="18"/>
    </row>
    <row r="343" spans="1:6" ht="16.5" customHeight="1" x14ac:dyDescent="0.3">
      <c r="A343" s="23"/>
      <c r="B343"/>
      <c r="F343" s="18"/>
    </row>
    <row r="344" spans="1:6" ht="16.5" customHeight="1" x14ac:dyDescent="0.3">
      <c r="A344" s="23"/>
      <c r="B344"/>
      <c r="F344" s="18"/>
    </row>
    <row r="345" spans="1:6" ht="16.5" customHeight="1" x14ac:dyDescent="0.3">
      <c r="A345" s="23"/>
      <c r="B345"/>
      <c r="F345" s="18"/>
    </row>
    <row r="346" spans="1:6" ht="16.5" customHeight="1" x14ac:dyDescent="0.3">
      <c r="A346" s="23"/>
      <c r="B346"/>
      <c r="F346" s="18"/>
    </row>
    <row r="347" spans="1:6" ht="16.5" customHeight="1" x14ac:dyDescent="0.3">
      <c r="A347" s="23"/>
      <c r="B347"/>
      <c r="F347" s="18"/>
    </row>
    <row r="348" spans="1:6" ht="16.5" customHeight="1" x14ac:dyDescent="0.3">
      <c r="A348" s="23"/>
      <c r="B348"/>
      <c r="F348" s="18"/>
    </row>
    <row r="349" spans="1:6" ht="16.5" customHeight="1" x14ac:dyDescent="0.3">
      <c r="A349" s="23"/>
      <c r="B349"/>
      <c r="F349" s="18"/>
    </row>
    <row r="350" spans="1:6" ht="16.5" customHeight="1" x14ac:dyDescent="0.3">
      <c r="A350" s="23"/>
      <c r="B350"/>
      <c r="F350" s="18"/>
    </row>
    <row r="351" spans="1:6" ht="16.5" customHeight="1" x14ac:dyDescent="0.3">
      <c r="A351" s="23"/>
      <c r="B351"/>
      <c r="F351" s="18"/>
    </row>
    <row r="352" spans="1:6" ht="16.5" customHeight="1" x14ac:dyDescent="0.3">
      <c r="A352" s="23"/>
      <c r="B352"/>
      <c r="F352" s="18"/>
    </row>
    <row r="353" spans="1:6" ht="16.5" customHeight="1" x14ac:dyDescent="0.3">
      <c r="A353" s="23"/>
      <c r="B353"/>
      <c r="F353" s="18"/>
    </row>
    <row r="354" spans="1:6" ht="16.5" customHeight="1" x14ac:dyDescent="0.3">
      <c r="A354" s="23"/>
      <c r="B354"/>
      <c r="F354" s="18"/>
    </row>
    <row r="355" spans="1:6" ht="16.5" customHeight="1" x14ac:dyDescent="0.3">
      <c r="A355" s="23"/>
      <c r="B355"/>
      <c r="F355" s="18"/>
    </row>
    <row r="356" spans="1:6" ht="16.5" customHeight="1" x14ac:dyDescent="0.3">
      <c r="A356" s="23"/>
      <c r="B356"/>
      <c r="F356" s="18"/>
    </row>
    <row r="357" spans="1:6" ht="16.5" customHeight="1" x14ac:dyDescent="0.3">
      <c r="A357" s="23"/>
      <c r="B357"/>
      <c r="F357" s="18"/>
    </row>
    <row r="358" spans="1:6" ht="16.5" customHeight="1" x14ac:dyDescent="0.3">
      <c r="A358" s="23"/>
      <c r="B358"/>
      <c r="F358" s="18"/>
    </row>
    <row r="359" spans="1:6" ht="16.5" customHeight="1" x14ac:dyDescent="0.3">
      <c r="A359" s="23"/>
      <c r="B359"/>
      <c r="F359" s="18"/>
    </row>
    <row r="360" spans="1:6" ht="16.5" customHeight="1" x14ac:dyDescent="0.3">
      <c r="A360" s="23"/>
      <c r="B360"/>
      <c r="F360" s="18"/>
    </row>
    <row r="361" spans="1:6" ht="16.5" customHeight="1" x14ac:dyDescent="0.3">
      <c r="A361" s="23"/>
      <c r="B361"/>
      <c r="F361" s="18"/>
    </row>
    <row r="362" spans="1:6" ht="16.5" customHeight="1" x14ac:dyDescent="0.3">
      <c r="A362" s="23"/>
      <c r="B362"/>
      <c r="F362" s="18"/>
    </row>
    <row r="363" spans="1:6" ht="16.5" customHeight="1" x14ac:dyDescent="0.3">
      <c r="A363" s="23"/>
      <c r="B363"/>
      <c r="F363" s="18"/>
    </row>
    <row r="364" spans="1:6" ht="16.5" customHeight="1" x14ac:dyDescent="0.3">
      <c r="A364" s="23"/>
      <c r="B364"/>
      <c r="F364" s="18"/>
    </row>
    <row r="365" spans="1:6" ht="16.5" customHeight="1" x14ac:dyDescent="0.3">
      <c r="A365" s="23"/>
      <c r="B365"/>
      <c r="F365" s="18"/>
    </row>
    <row r="366" spans="1:6" ht="16.5" customHeight="1" x14ac:dyDescent="0.3">
      <c r="A366" s="23"/>
      <c r="B366"/>
      <c r="F366" s="18"/>
    </row>
    <row r="367" spans="1:6" ht="16.5" customHeight="1" x14ac:dyDescent="0.3">
      <c r="A367" s="23"/>
      <c r="B367"/>
      <c r="F367" s="18"/>
    </row>
    <row r="368" spans="1:6" ht="16.5" customHeight="1" x14ac:dyDescent="0.3">
      <c r="A368" s="23"/>
      <c r="B368"/>
      <c r="F368" s="18"/>
    </row>
    <row r="369" spans="1:6" ht="16.5" customHeight="1" x14ac:dyDescent="0.3">
      <c r="A369" s="23"/>
      <c r="B369"/>
      <c r="F369" s="18"/>
    </row>
    <row r="370" spans="1:6" ht="16.5" customHeight="1" x14ac:dyDescent="0.3">
      <c r="A370" s="23"/>
      <c r="B370"/>
      <c r="F370" s="18"/>
    </row>
    <row r="371" spans="1:6" ht="16.5" customHeight="1" x14ac:dyDescent="0.3">
      <c r="A371" s="23"/>
      <c r="B371"/>
      <c r="F371" s="18"/>
    </row>
    <row r="372" spans="1:6" ht="16.5" customHeight="1" x14ac:dyDescent="0.3">
      <c r="A372" s="23"/>
      <c r="B372"/>
      <c r="F372" s="18"/>
    </row>
    <row r="373" spans="1:6" ht="16.5" customHeight="1" x14ac:dyDescent="0.3">
      <c r="A373" s="23"/>
      <c r="B373"/>
      <c r="F373" s="18"/>
    </row>
    <row r="374" spans="1:6" ht="16.5" customHeight="1" x14ac:dyDescent="0.3">
      <c r="A374" s="23"/>
      <c r="B374"/>
      <c r="F374" s="18"/>
    </row>
    <row r="375" spans="1:6" ht="16.5" customHeight="1" x14ac:dyDescent="0.3">
      <c r="A375" s="23"/>
      <c r="B375"/>
      <c r="F375" s="18"/>
    </row>
    <row r="376" spans="1:6" ht="16.5" customHeight="1" x14ac:dyDescent="0.3">
      <c r="A376" s="23"/>
      <c r="B376"/>
      <c r="F376" s="18"/>
    </row>
    <row r="377" spans="1:6" ht="16.5" customHeight="1" x14ac:dyDescent="0.3">
      <c r="A377" s="23"/>
      <c r="B377"/>
      <c r="F377" s="18"/>
    </row>
    <row r="378" spans="1:6" ht="16.5" customHeight="1" x14ac:dyDescent="0.3">
      <c r="A378" s="23"/>
      <c r="B378"/>
      <c r="F378" s="18"/>
    </row>
    <row r="379" spans="1:6" ht="16.5" customHeight="1" x14ac:dyDescent="0.3">
      <c r="A379" s="23"/>
      <c r="B379"/>
      <c r="F379" s="18"/>
    </row>
    <row r="380" spans="1:6" ht="16.5" customHeight="1" x14ac:dyDescent="0.3">
      <c r="A380" s="23"/>
      <c r="B380"/>
      <c r="F380" s="18"/>
    </row>
    <row r="381" spans="1:6" ht="16.5" customHeight="1" x14ac:dyDescent="0.3">
      <c r="A381" s="23"/>
      <c r="F381" s="18"/>
    </row>
    <row r="382" spans="1:6" ht="16.5" customHeight="1" x14ac:dyDescent="0.3">
      <c r="A382" s="23"/>
      <c r="B382"/>
      <c r="F382" s="18"/>
    </row>
    <row r="383" spans="1:6" ht="16.5" customHeight="1" x14ac:dyDescent="0.3">
      <c r="A383" s="23"/>
      <c r="B383"/>
      <c r="F383" s="18"/>
    </row>
    <row r="384" spans="1:6" ht="16.5" customHeight="1" x14ac:dyDescent="0.3">
      <c r="A384" s="23"/>
      <c r="B384"/>
      <c r="F384" s="18"/>
    </row>
    <row r="385" spans="1:6" ht="16.5" customHeight="1" x14ac:dyDescent="0.3">
      <c r="A385" s="23"/>
      <c r="B385"/>
      <c r="F385" s="18"/>
    </row>
    <row r="386" spans="1:6" ht="16.5" customHeight="1" x14ac:dyDescent="0.3">
      <c r="A386" s="23"/>
      <c r="B386"/>
      <c r="F386" s="18"/>
    </row>
    <row r="387" spans="1:6" ht="16.5" customHeight="1" x14ac:dyDescent="0.3">
      <c r="A387" s="23"/>
      <c r="B387"/>
      <c r="F387" s="18"/>
    </row>
    <row r="388" spans="1:6" ht="16.5" customHeight="1" x14ac:dyDescent="0.3">
      <c r="A388" s="23"/>
      <c r="B388"/>
      <c r="F388" s="18"/>
    </row>
    <row r="389" spans="1:6" ht="16.5" customHeight="1" x14ac:dyDescent="0.3">
      <c r="A389" s="23"/>
      <c r="B389"/>
      <c r="F389" s="18"/>
    </row>
    <row r="390" spans="1:6" ht="16.5" customHeight="1" x14ac:dyDescent="0.3">
      <c r="A390" s="23"/>
      <c r="B390"/>
      <c r="F390" s="18"/>
    </row>
    <row r="391" spans="1:6" ht="16.5" customHeight="1" x14ac:dyDescent="0.3">
      <c r="A391" s="23"/>
      <c r="B391"/>
      <c r="F391" s="18"/>
    </row>
    <row r="392" spans="1:6" ht="16.5" customHeight="1" x14ac:dyDescent="0.3">
      <c r="A392" s="23"/>
      <c r="B392"/>
      <c r="F392" s="18"/>
    </row>
    <row r="393" spans="1:6" ht="16.5" customHeight="1" x14ac:dyDescent="0.3">
      <c r="A393" s="23"/>
      <c r="B393"/>
      <c r="F393" s="18"/>
    </row>
    <row r="394" spans="1:6" ht="16.5" customHeight="1" x14ac:dyDescent="0.3">
      <c r="A394" s="23"/>
      <c r="B394"/>
      <c r="F394" s="18"/>
    </row>
    <row r="395" spans="1:6" ht="16.5" customHeight="1" x14ac:dyDescent="0.3">
      <c r="A395" s="23"/>
      <c r="B395"/>
      <c r="F395" s="18"/>
    </row>
    <row r="396" spans="1:6" ht="16.5" customHeight="1" x14ac:dyDescent="0.3">
      <c r="A396" s="23"/>
      <c r="B396"/>
      <c r="F396" s="18"/>
    </row>
    <row r="397" spans="1:6" ht="16.5" customHeight="1" x14ac:dyDescent="0.3">
      <c r="A397" s="23"/>
      <c r="B397"/>
      <c r="F397" s="18"/>
    </row>
    <row r="398" spans="1:6" ht="16.5" customHeight="1" x14ac:dyDescent="0.3">
      <c r="A398" s="23"/>
      <c r="B398"/>
      <c r="F398" s="18"/>
    </row>
    <row r="399" spans="1:6" ht="16.5" customHeight="1" x14ac:dyDescent="0.3">
      <c r="A399" s="23"/>
      <c r="B399"/>
      <c r="F399" s="18"/>
    </row>
    <row r="400" spans="1:6" ht="16.5" customHeight="1" x14ac:dyDescent="0.3">
      <c r="A400" s="23"/>
      <c r="B400"/>
      <c r="F400" s="18"/>
    </row>
    <row r="401" spans="1:6" ht="16.5" customHeight="1" x14ac:dyDescent="0.3">
      <c r="A401" s="23"/>
      <c r="B401"/>
      <c r="F401" s="18"/>
    </row>
    <row r="402" spans="1:6" ht="16.5" customHeight="1" x14ac:dyDescent="0.3">
      <c r="A402" s="23"/>
      <c r="B402"/>
      <c r="F402" s="18"/>
    </row>
    <row r="403" spans="1:6" ht="16.5" customHeight="1" x14ac:dyDescent="0.3">
      <c r="A403" s="23"/>
      <c r="B403"/>
      <c r="F403" s="18"/>
    </row>
    <row r="404" spans="1:6" ht="16.5" customHeight="1" x14ac:dyDescent="0.3">
      <c r="A404" s="23"/>
      <c r="B404"/>
      <c r="F404" s="18"/>
    </row>
    <row r="405" spans="1:6" ht="16.5" customHeight="1" x14ac:dyDescent="0.3">
      <c r="A405" s="23"/>
      <c r="B405"/>
      <c r="F405" s="18"/>
    </row>
    <row r="406" spans="1:6" ht="16.5" customHeight="1" x14ac:dyDescent="0.3">
      <c r="A406" s="23"/>
      <c r="B406"/>
      <c r="F406" s="18"/>
    </row>
    <row r="407" spans="1:6" ht="16.5" customHeight="1" x14ac:dyDescent="0.3">
      <c r="A407" s="23"/>
      <c r="B407"/>
      <c r="F407" s="18"/>
    </row>
    <row r="408" spans="1:6" ht="16.5" customHeight="1" x14ac:dyDescent="0.3">
      <c r="A408" s="23"/>
      <c r="B408"/>
      <c r="F408" s="18"/>
    </row>
    <row r="409" spans="1:6" ht="16.5" customHeight="1" x14ac:dyDescent="0.3">
      <c r="A409" s="23"/>
      <c r="B409"/>
      <c r="F409" s="18"/>
    </row>
    <row r="410" spans="1:6" ht="16.5" customHeight="1" x14ac:dyDescent="0.3">
      <c r="A410" s="23"/>
      <c r="B410"/>
      <c r="F410" s="18"/>
    </row>
    <row r="411" spans="1:6" ht="16.5" customHeight="1" x14ac:dyDescent="0.3">
      <c r="A411" s="23"/>
      <c r="B411"/>
      <c r="F411" s="18"/>
    </row>
    <row r="412" spans="1:6" ht="16.5" customHeight="1" x14ac:dyDescent="0.3">
      <c r="A412" s="23"/>
      <c r="B412"/>
      <c r="F412" s="18"/>
    </row>
    <row r="413" spans="1:6" ht="16.5" customHeight="1" x14ac:dyDescent="0.3">
      <c r="A413" s="23"/>
      <c r="B413"/>
      <c r="F413" s="18"/>
    </row>
    <row r="414" spans="1:6" ht="16.5" customHeight="1" x14ac:dyDescent="0.3">
      <c r="A414" s="23"/>
      <c r="B414"/>
      <c r="F414" s="18"/>
    </row>
    <row r="415" spans="1:6" ht="16.5" customHeight="1" x14ac:dyDescent="0.3">
      <c r="A415" s="23"/>
      <c r="B415"/>
      <c r="F415" s="18"/>
    </row>
    <row r="416" spans="1:6" ht="16.5" customHeight="1" x14ac:dyDescent="0.3">
      <c r="A416" s="23"/>
      <c r="B416"/>
      <c r="F416" s="18"/>
    </row>
    <row r="417" spans="1:6" ht="16.5" customHeight="1" x14ac:dyDescent="0.3">
      <c r="A417" s="23"/>
      <c r="B417"/>
      <c r="F417" s="18"/>
    </row>
    <row r="418" spans="1:6" ht="16.5" customHeight="1" x14ac:dyDescent="0.3">
      <c r="A418" s="23"/>
      <c r="B418"/>
      <c r="D418" s="16"/>
      <c r="E418" s="17"/>
      <c r="F418" s="22"/>
    </row>
    <row r="419" spans="1:6" ht="16.5" customHeight="1" x14ac:dyDescent="0.3">
      <c r="A419" s="23"/>
      <c r="B419"/>
      <c r="F419" s="18"/>
    </row>
    <row r="420" spans="1:6" ht="16.5" customHeight="1" x14ac:dyDescent="0.3">
      <c r="A420" s="23"/>
      <c r="B420"/>
      <c r="F420" s="18"/>
    </row>
    <row r="421" spans="1:6" ht="16.5" customHeight="1" x14ac:dyDescent="0.3">
      <c r="A421" s="23"/>
      <c r="B421"/>
      <c r="F421" s="18"/>
    </row>
    <row r="422" spans="1:6" ht="16.5" customHeight="1" x14ac:dyDescent="0.3">
      <c r="A422" s="23"/>
      <c r="B422"/>
      <c r="F422" s="18"/>
    </row>
    <row r="423" spans="1:6" ht="16.5" customHeight="1" x14ac:dyDescent="0.3">
      <c r="A423" s="23"/>
      <c r="B423"/>
      <c r="F423" s="18"/>
    </row>
    <row r="424" spans="1:6" ht="16.5" customHeight="1" x14ac:dyDescent="0.3">
      <c r="A424" s="23"/>
      <c r="B424"/>
      <c r="F424" s="18"/>
    </row>
    <row r="425" spans="1:6" ht="16.5" customHeight="1" x14ac:dyDescent="0.3">
      <c r="A425" s="23"/>
      <c r="B425"/>
      <c r="F425" s="18"/>
    </row>
    <row r="426" spans="1:6" ht="16.5" customHeight="1" x14ac:dyDescent="0.3">
      <c r="A426" s="23"/>
      <c r="B426"/>
      <c r="F426" s="18"/>
    </row>
    <row r="427" spans="1:6" ht="16.5" customHeight="1" x14ac:dyDescent="0.3">
      <c r="A427" s="23"/>
      <c r="B427"/>
      <c r="F427" s="18"/>
    </row>
    <row r="428" spans="1:6" ht="16.5" customHeight="1" x14ac:dyDescent="0.3">
      <c r="A428" s="23"/>
      <c r="B428"/>
      <c r="F428" s="18"/>
    </row>
    <row r="429" spans="1:6" ht="16.5" customHeight="1" x14ac:dyDescent="0.3">
      <c r="A429" s="23"/>
      <c r="B429"/>
      <c r="F429" s="18"/>
    </row>
    <row r="430" spans="1:6" ht="16.5" customHeight="1" x14ac:dyDescent="0.3">
      <c r="A430" s="23"/>
      <c r="B430"/>
      <c r="F430" s="18"/>
    </row>
    <row r="431" spans="1:6" ht="16.5" customHeight="1" x14ac:dyDescent="0.3">
      <c r="A431" s="23"/>
      <c r="B431"/>
      <c r="F431" s="18"/>
    </row>
    <row r="432" spans="1:6" ht="16.5" customHeight="1" x14ac:dyDescent="0.3">
      <c r="A432" s="23"/>
      <c r="B432"/>
      <c r="F432" s="18"/>
    </row>
    <row r="433" spans="1:6" ht="16.5" customHeight="1" x14ac:dyDescent="0.3">
      <c r="A433" s="23"/>
      <c r="B433"/>
      <c r="F433" s="18"/>
    </row>
    <row r="434" spans="1:6" ht="16.5" customHeight="1" x14ac:dyDescent="0.3">
      <c r="A434" s="23"/>
      <c r="B434"/>
      <c r="F434" s="18"/>
    </row>
    <row r="435" spans="1:6" ht="16.5" customHeight="1" x14ac:dyDescent="0.3">
      <c r="A435" s="23"/>
      <c r="B435"/>
      <c r="F435" s="18"/>
    </row>
    <row r="436" spans="1:6" ht="16.5" customHeight="1" x14ac:dyDescent="0.3">
      <c r="A436" s="23"/>
      <c r="B436"/>
      <c r="F436" s="18"/>
    </row>
    <row r="437" spans="1:6" ht="16.149999999999999" customHeight="1" x14ac:dyDescent="0.3">
      <c r="A437" s="23"/>
      <c r="B437"/>
      <c r="F437" s="18"/>
    </row>
    <row r="438" spans="1:6" ht="16.5" customHeight="1" x14ac:dyDescent="0.3">
      <c r="A438" s="23"/>
      <c r="B438"/>
      <c r="F438" s="18"/>
    </row>
    <row r="439" spans="1:6" ht="16.5" customHeight="1" x14ac:dyDescent="0.3">
      <c r="A439" s="23"/>
      <c r="B439"/>
      <c r="F439" s="18"/>
    </row>
    <row r="440" spans="1:6" ht="16.5" customHeight="1" x14ac:dyDescent="0.3">
      <c r="A440" s="23"/>
      <c r="B440"/>
      <c r="F440" s="18"/>
    </row>
    <row r="441" spans="1:6" ht="16.5" customHeight="1" x14ac:dyDescent="0.3">
      <c r="A441" s="23"/>
      <c r="B441"/>
      <c r="F441" s="18"/>
    </row>
    <row r="442" spans="1:6" ht="16.5" customHeight="1" x14ac:dyDescent="0.3">
      <c r="A442" s="23"/>
      <c r="B442"/>
      <c r="D442" s="16"/>
      <c r="E442" s="17"/>
      <c r="F442" s="22"/>
    </row>
    <row r="443" spans="1:6" ht="16.5" customHeight="1" x14ac:dyDescent="0.3">
      <c r="A443" s="23"/>
      <c r="B443"/>
      <c r="F443" s="18"/>
    </row>
    <row r="444" spans="1:6" ht="16.5" customHeight="1" x14ac:dyDescent="0.3">
      <c r="A444" s="23"/>
      <c r="B444"/>
      <c r="F444" s="18"/>
    </row>
    <row r="445" spans="1:6" ht="16.5" customHeight="1" x14ac:dyDescent="0.3">
      <c r="A445" s="23"/>
      <c r="B445"/>
      <c r="F445" s="18"/>
    </row>
    <row r="446" spans="1:6" ht="16.5" customHeight="1" x14ac:dyDescent="0.3">
      <c r="A446" s="23"/>
      <c r="B446"/>
      <c r="F446" s="18"/>
    </row>
    <row r="447" spans="1:6" ht="16.5" customHeight="1" x14ac:dyDescent="0.3">
      <c r="A447" s="23"/>
      <c r="B447"/>
      <c r="F447" s="18"/>
    </row>
    <row r="448" spans="1:6" ht="16.5" customHeight="1" x14ac:dyDescent="0.3">
      <c r="A448" s="23"/>
      <c r="B448"/>
      <c r="F448" s="18"/>
    </row>
    <row r="449" spans="1:6" ht="16.5" customHeight="1" x14ac:dyDescent="0.3">
      <c r="A449" s="23"/>
      <c r="B449"/>
      <c r="F449" s="18"/>
    </row>
    <row r="450" spans="1:6" ht="16.5" customHeight="1" x14ac:dyDescent="0.3">
      <c r="A450" s="23"/>
      <c r="B450"/>
      <c r="F450" s="18"/>
    </row>
    <row r="451" spans="1:6" ht="16.5" customHeight="1" x14ac:dyDescent="0.3">
      <c r="A451" s="23"/>
      <c r="B451"/>
      <c r="F451" s="18"/>
    </row>
    <row r="452" spans="1:6" ht="16.5" customHeight="1" x14ac:dyDescent="0.3">
      <c r="A452" s="23"/>
      <c r="B452"/>
      <c r="F452" s="18"/>
    </row>
    <row r="453" spans="1:6" ht="16.5" customHeight="1" x14ac:dyDescent="0.3">
      <c r="A453" s="23"/>
      <c r="B453"/>
      <c r="F453" s="18"/>
    </row>
    <row r="454" spans="1:6" ht="16.5" customHeight="1" x14ac:dyDescent="0.3">
      <c r="A454" s="23"/>
      <c r="B454"/>
      <c r="F454" s="18"/>
    </row>
    <row r="455" spans="1:6" ht="16.5" customHeight="1" x14ac:dyDescent="0.3">
      <c r="A455" s="23"/>
      <c r="B455"/>
      <c r="F455" s="18"/>
    </row>
    <row r="456" spans="1:6" ht="16.5" customHeight="1" x14ac:dyDescent="0.3">
      <c r="A456" s="23"/>
      <c r="B456"/>
      <c r="F456" s="18"/>
    </row>
    <row r="457" spans="1:6" ht="16.5" customHeight="1" x14ac:dyDescent="0.3">
      <c r="A457" s="23"/>
      <c r="B457"/>
      <c r="F457" s="18"/>
    </row>
    <row r="458" spans="1:6" ht="16.5" customHeight="1" x14ac:dyDescent="0.3">
      <c r="A458" s="23"/>
      <c r="B458"/>
      <c r="F458" s="18"/>
    </row>
    <row r="459" spans="1:6" ht="16.5" customHeight="1" x14ac:dyDescent="0.3">
      <c r="A459" s="23"/>
      <c r="B459"/>
      <c r="F459" s="18"/>
    </row>
    <row r="460" spans="1:6" ht="16.5" customHeight="1" x14ac:dyDescent="0.3">
      <c r="A460" s="23"/>
      <c r="B460"/>
      <c r="F460" s="18"/>
    </row>
    <row r="461" spans="1:6" ht="16.5" customHeight="1" x14ac:dyDescent="0.3">
      <c r="A461" s="23"/>
      <c r="B461"/>
      <c r="F461" s="18"/>
    </row>
    <row r="462" spans="1:6" ht="16.5" customHeight="1" x14ac:dyDescent="0.3">
      <c r="A462" s="23"/>
      <c r="B462"/>
      <c r="F462" s="18"/>
    </row>
    <row r="463" spans="1:6" ht="16.5" customHeight="1" x14ac:dyDescent="0.3">
      <c r="A463" s="23"/>
      <c r="B463"/>
      <c r="F463" s="18"/>
    </row>
    <row r="464" spans="1:6" ht="16.5" customHeight="1" x14ac:dyDescent="0.3">
      <c r="A464" s="23"/>
      <c r="B464"/>
      <c r="F464" s="18"/>
    </row>
    <row r="465" spans="1:6" ht="16.5" customHeight="1" x14ac:dyDescent="0.3">
      <c r="A465" s="23"/>
      <c r="B465"/>
      <c r="F465" s="18"/>
    </row>
    <row r="466" spans="1:6" ht="16.5" customHeight="1" x14ac:dyDescent="0.3">
      <c r="A466" s="23"/>
      <c r="B466"/>
      <c r="F466" s="18"/>
    </row>
    <row r="467" spans="1:6" ht="16.5" customHeight="1" x14ac:dyDescent="0.3">
      <c r="A467" s="23"/>
      <c r="B467"/>
      <c r="F467" s="18"/>
    </row>
    <row r="468" spans="1:6" ht="16.5" customHeight="1" x14ac:dyDescent="0.3">
      <c r="A468" s="23"/>
      <c r="B468"/>
      <c r="F468" s="18"/>
    </row>
    <row r="469" spans="1:6" ht="16.5" customHeight="1" x14ac:dyDescent="0.3">
      <c r="A469" s="23"/>
      <c r="B469"/>
      <c r="F469" s="18"/>
    </row>
    <row r="470" spans="1:6" ht="16.5" customHeight="1" x14ac:dyDescent="0.3">
      <c r="A470" s="23"/>
      <c r="B470"/>
      <c r="F470" s="18"/>
    </row>
    <row r="471" spans="1:6" ht="16.5" customHeight="1" x14ac:dyDescent="0.3">
      <c r="A471" s="23"/>
      <c r="B471"/>
      <c r="F471" s="18"/>
    </row>
    <row r="472" spans="1:6" ht="16.5" customHeight="1" x14ac:dyDescent="0.3">
      <c r="A472" s="23"/>
      <c r="B472"/>
      <c r="F472" s="18"/>
    </row>
    <row r="473" spans="1:6" ht="16.5" customHeight="1" x14ac:dyDescent="0.3">
      <c r="A473" s="23"/>
      <c r="B473"/>
      <c r="F473" s="18"/>
    </row>
    <row r="474" spans="1:6" ht="16.5" customHeight="1" x14ac:dyDescent="0.3">
      <c r="A474" s="23"/>
      <c r="B474"/>
      <c r="F474" s="18"/>
    </row>
    <row r="475" spans="1:6" ht="16.5" customHeight="1" x14ac:dyDescent="0.3">
      <c r="A475" s="23"/>
      <c r="B475"/>
      <c r="F475" s="18"/>
    </row>
    <row r="476" spans="1:6" ht="16.5" customHeight="1" x14ac:dyDescent="0.3">
      <c r="A476" s="23"/>
      <c r="B476"/>
      <c r="F476" s="18"/>
    </row>
    <row r="477" spans="1:6" ht="16.5" customHeight="1" x14ac:dyDescent="0.3">
      <c r="A477" s="23"/>
      <c r="B477"/>
      <c r="F477" s="18"/>
    </row>
    <row r="478" spans="1:6" ht="16.5" customHeight="1" x14ac:dyDescent="0.3">
      <c r="A478" s="23"/>
      <c r="B478"/>
      <c r="F478" s="18"/>
    </row>
    <row r="479" spans="1:6" ht="16.5" customHeight="1" x14ac:dyDescent="0.3">
      <c r="A479" s="23"/>
      <c r="B479"/>
      <c r="F479" s="18"/>
    </row>
    <row r="480" spans="1:6" ht="16.5" customHeight="1" x14ac:dyDescent="0.3">
      <c r="A480" s="23"/>
      <c r="B480"/>
      <c r="F480" s="18"/>
    </row>
    <row r="481" spans="1:6" ht="16.5" customHeight="1" x14ac:dyDescent="0.3">
      <c r="A481" s="23"/>
      <c r="B481"/>
      <c r="F481" s="18"/>
    </row>
    <row r="482" spans="1:6" ht="16.5" customHeight="1" x14ac:dyDescent="0.3">
      <c r="A482" s="23"/>
      <c r="B482"/>
      <c r="F482" s="18"/>
    </row>
    <row r="483" spans="1:6" ht="16.5" customHeight="1" x14ac:dyDescent="0.3">
      <c r="A483" s="23"/>
      <c r="B483"/>
      <c r="F483" s="18"/>
    </row>
    <row r="484" spans="1:6" ht="16.5" customHeight="1" x14ac:dyDescent="0.3">
      <c r="A484" s="23"/>
      <c r="B484"/>
      <c r="F484" s="18"/>
    </row>
    <row r="485" spans="1:6" ht="16.5" customHeight="1" x14ac:dyDescent="0.3">
      <c r="A485" s="23"/>
      <c r="B485"/>
      <c r="F485" s="18"/>
    </row>
    <row r="486" spans="1:6" ht="16.5" customHeight="1" x14ac:dyDescent="0.3">
      <c r="A486" s="23"/>
      <c r="B486"/>
      <c r="F486" s="18"/>
    </row>
    <row r="487" spans="1:6" ht="16.5" customHeight="1" x14ac:dyDescent="0.3">
      <c r="A487" s="23"/>
      <c r="B487"/>
      <c r="F487" s="18"/>
    </row>
    <row r="488" spans="1:6" ht="16.5" customHeight="1" x14ac:dyDescent="0.3">
      <c r="A488" s="23"/>
      <c r="B488"/>
      <c r="F488" s="18"/>
    </row>
    <row r="489" spans="1:6" ht="16.5" customHeight="1" x14ac:dyDescent="0.3">
      <c r="A489" s="23"/>
      <c r="B489"/>
      <c r="F489" s="18"/>
    </row>
    <row r="490" spans="1:6" ht="16.5" customHeight="1" x14ac:dyDescent="0.3">
      <c r="A490" s="23"/>
      <c r="B490"/>
      <c r="F490" s="18"/>
    </row>
    <row r="491" spans="1:6" ht="16.5" customHeight="1" x14ac:dyDescent="0.3">
      <c r="A491" s="23"/>
      <c r="B491"/>
      <c r="F491" s="18"/>
    </row>
    <row r="492" spans="1:6" ht="16.5" customHeight="1" x14ac:dyDescent="0.3">
      <c r="A492" s="23"/>
      <c r="B492"/>
      <c r="F492" s="18"/>
    </row>
    <row r="493" spans="1:6" ht="16.5" customHeight="1" x14ac:dyDescent="0.3">
      <c r="A493" s="23"/>
      <c r="B493"/>
      <c r="F493" s="18"/>
    </row>
    <row r="494" spans="1:6" ht="16.5" customHeight="1" x14ac:dyDescent="0.3">
      <c r="A494" s="23"/>
      <c r="B494"/>
      <c r="F494" s="18"/>
    </row>
    <row r="495" spans="1:6" ht="16.5" customHeight="1" x14ac:dyDescent="0.3">
      <c r="A495" s="23"/>
      <c r="B495"/>
      <c r="F495" s="18"/>
    </row>
    <row r="496" spans="1:6" ht="16.5" customHeight="1" x14ac:dyDescent="0.3">
      <c r="A496" s="23"/>
      <c r="B496"/>
      <c r="F496" s="18"/>
    </row>
    <row r="497" spans="1:6" ht="16.5" customHeight="1" x14ac:dyDescent="0.3">
      <c r="A497" s="23"/>
      <c r="B497"/>
      <c r="F497" s="18"/>
    </row>
    <row r="498" spans="1:6" ht="16.5" customHeight="1" x14ac:dyDescent="0.3">
      <c r="A498" s="23"/>
      <c r="B498"/>
      <c r="F498" s="18"/>
    </row>
    <row r="499" spans="1:6" ht="16.5" customHeight="1" x14ac:dyDescent="0.3">
      <c r="A499" s="23"/>
      <c r="B499"/>
      <c r="F499" s="18"/>
    </row>
    <row r="500" spans="1:6" ht="16.5" customHeight="1" x14ac:dyDescent="0.3">
      <c r="A500" s="23"/>
      <c r="B500"/>
      <c r="F500" s="18"/>
    </row>
    <row r="501" spans="1:6" ht="16.5" customHeight="1" x14ac:dyDescent="0.3">
      <c r="A501" s="23"/>
      <c r="B501"/>
      <c r="F501" s="18"/>
    </row>
    <row r="502" spans="1:6" ht="16.5" customHeight="1" x14ac:dyDescent="0.3">
      <c r="A502" s="23"/>
      <c r="B502"/>
      <c r="F502" s="18"/>
    </row>
    <row r="503" spans="1:6" ht="16.5" customHeight="1" x14ac:dyDescent="0.3">
      <c r="A503" s="23"/>
      <c r="B503"/>
      <c r="F503" s="18"/>
    </row>
    <row r="504" spans="1:6" ht="16.5" customHeight="1" x14ac:dyDescent="0.3">
      <c r="A504" s="23"/>
      <c r="B504"/>
      <c r="F504" s="18"/>
    </row>
    <row r="505" spans="1:6" ht="16.5" customHeight="1" x14ac:dyDescent="0.3">
      <c r="A505" s="23"/>
      <c r="B505"/>
      <c r="F505" s="18"/>
    </row>
    <row r="506" spans="1:6" ht="16.5" customHeight="1" x14ac:dyDescent="0.3">
      <c r="A506" s="23"/>
      <c r="B506"/>
      <c r="F506" s="18"/>
    </row>
    <row r="507" spans="1:6" ht="16.5" customHeight="1" x14ac:dyDescent="0.3">
      <c r="A507" s="23"/>
      <c r="B507"/>
      <c r="F507" s="18"/>
    </row>
    <row r="508" spans="1:6" ht="16.5" customHeight="1" x14ac:dyDescent="0.3">
      <c r="A508" s="23"/>
      <c r="B508"/>
      <c r="F508" s="18"/>
    </row>
    <row r="509" spans="1:6" ht="16.5" customHeight="1" x14ac:dyDescent="0.3">
      <c r="A509" s="23"/>
      <c r="B509"/>
      <c r="F509" s="18"/>
    </row>
    <row r="510" spans="1:6" ht="16.5" customHeight="1" x14ac:dyDescent="0.3">
      <c r="A510" s="23"/>
      <c r="B510"/>
      <c r="F510" s="18"/>
    </row>
    <row r="511" spans="1:6" ht="16.5" customHeight="1" x14ac:dyDescent="0.3">
      <c r="A511" s="23"/>
      <c r="B511"/>
      <c r="F511" s="18"/>
    </row>
    <row r="512" spans="1:6" ht="16.5" customHeight="1" x14ac:dyDescent="0.3">
      <c r="A512" s="23"/>
      <c r="B512"/>
      <c r="F512" s="18"/>
    </row>
    <row r="513" spans="1:6" ht="16.5" customHeight="1" x14ac:dyDescent="0.3">
      <c r="A513" s="23"/>
      <c r="B513"/>
      <c r="F513" s="19"/>
    </row>
    <row r="514" spans="1:6" ht="16.5" customHeight="1" x14ac:dyDescent="0.3">
      <c r="A514" s="23"/>
      <c r="B514"/>
      <c r="F514" s="18"/>
    </row>
    <row r="515" spans="1:6" ht="16.5" customHeight="1" x14ac:dyDescent="0.3">
      <c r="A515" s="23"/>
      <c r="B515"/>
      <c r="F515" s="18"/>
    </row>
    <row r="516" spans="1:6" ht="16.5" customHeight="1" x14ac:dyDescent="0.3">
      <c r="A516" s="23"/>
      <c r="B516"/>
      <c r="F516" s="18"/>
    </row>
    <row r="517" spans="1:6" ht="16.5" customHeight="1" x14ac:dyDescent="0.3">
      <c r="A517" s="23"/>
      <c r="B517"/>
      <c r="F517" s="18"/>
    </row>
    <row r="518" spans="1:6" ht="16.5" customHeight="1" x14ac:dyDescent="0.3">
      <c r="A518" s="23"/>
      <c r="B518"/>
      <c r="F518" s="18"/>
    </row>
    <row r="519" spans="1:6" ht="16.5" customHeight="1" x14ac:dyDescent="0.3">
      <c r="A519" s="23"/>
      <c r="B519"/>
      <c r="F519" s="18"/>
    </row>
    <row r="520" spans="1:6" ht="16.5" customHeight="1" x14ac:dyDescent="0.3">
      <c r="A520" s="23"/>
      <c r="B520"/>
      <c r="F520" s="18"/>
    </row>
    <row r="521" spans="1:6" ht="16.5" customHeight="1" x14ac:dyDescent="0.3">
      <c r="A521" s="23"/>
      <c r="B521"/>
      <c r="F521" s="18"/>
    </row>
    <row r="522" spans="1:6" ht="16.5" customHeight="1" x14ac:dyDescent="0.3">
      <c r="A522" s="23"/>
      <c r="B522"/>
      <c r="F522" s="18"/>
    </row>
    <row r="523" spans="1:6" ht="16.5" customHeight="1" x14ac:dyDescent="0.3">
      <c r="A523" s="23"/>
      <c r="B523"/>
      <c r="F523" s="18"/>
    </row>
    <row r="524" spans="1:6" ht="16.5" customHeight="1" x14ac:dyDescent="0.3">
      <c r="A524" s="23"/>
      <c r="B524"/>
      <c r="F524" s="18"/>
    </row>
    <row r="525" spans="1:6" ht="16.5" customHeight="1" x14ac:dyDescent="0.3">
      <c r="A525" s="23"/>
      <c r="B525"/>
      <c r="F525" s="18"/>
    </row>
    <row r="526" spans="1:6" ht="16.5" customHeight="1" x14ac:dyDescent="0.3">
      <c r="A526" s="23"/>
      <c r="B526"/>
      <c r="F526" s="18"/>
    </row>
    <row r="527" spans="1:6" ht="16.5" customHeight="1" x14ac:dyDescent="0.3">
      <c r="A527" s="23"/>
      <c r="B527"/>
      <c r="F527" s="18"/>
    </row>
    <row r="528" spans="1:6" ht="16.5" customHeight="1" x14ac:dyDescent="0.3">
      <c r="A528" s="23"/>
      <c r="B528"/>
      <c r="F528" s="18"/>
    </row>
    <row r="529" spans="1:6" ht="16.5" customHeight="1" x14ac:dyDescent="0.3">
      <c r="A529" s="23"/>
      <c r="B529"/>
      <c r="F529" s="18"/>
    </row>
    <row r="530" spans="1:6" ht="16.5" customHeight="1" x14ac:dyDescent="0.3">
      <c r="A530" s="23"/>
      <c r="B530"/>
      <c r="F530" s="18"/>
    </row>
    <row r="531" spans="1:6" ht="16.5" customHeight="1" x14ac:dyDescent="0.3">
      <c r="A531" s="23"/>
      <c r="B531"/>
      <c r="F531" s="18"/>
    </row>
    <row r="532" spans="1:6" ht="16.5" customHeight="1" x14ac:dyDescent="0.3">
      <c r="A532" s="23"/>
      <c r="B532"/>
      <c r="F532" s="18"/>
    </row>
    <row r="533" spans="1:6" ht="16.5" customHeight="1" x14ac:dyDescent="0.3">
      <c r="A533" s="23"/>
      <c r="B533"/>
      <c r="F533" s="18"/>
    </row>
    <row r="534" spans="1:6" ht="16.5" customHeight="1" x14ac:dyDescent="0.3">
      <c r="A534" s="23"/>
      <c r="B534"/>
      <c r="F534" s="18"/>
    </row>
    <row r="535" spans="1:6" ht="16.5" customHeight="1" x14ac:dyDescent="0.3">
      <c r="A535" s="23"/>
      <c r="B535"/>
      <c r="F535" s="18"/>
    </row>
    <row r="536" spans="1:6" ht="16.5" customHeight="1" x14ac:dyDescent="0.3">
      <c r="A536" s="23"/>
      <c r="B536"/>
      <c r="F536" s="18"/>
    </row>
    <row r="537" spans="1:6" ht="16.5" customHeight="1" x14ac:dyDescent="0.3">
      <c r="A537" s="23"/>
      <c r="B537"/>
      <c r="F537" s="18"/>
    </row>
    <row r="538" spans="1:6" ht="16.5" customHeight="1" x14ac:dyDescent="0.3">
      <c r="A538" s="23"/>
      <c r="B538"/>
      <c r="F538" s="18"/>
    </row>
    <row r="539" spans="1:6" ht="16.5" customHeight="1" x14ac:dyDescent="0.3">
      <c r="A539" s="23"/>
      <c r="B539"/>
      <c r="F539" s="18"/>
    </row>
    <row r="540" spans="1:6" ht="16.5" customHeight="1" x14ac:dyDescent="0.3">
      <c r="A540" s="23"/>
      <c r="B540"/>
      <c r="F540" s="18"/>
    </row>
    <row r="541" spans="1:6" ht="16.5" customHeight="1" x14ac:dyDescent="0.3">
      <c r="A541" s="23"/>
      <c r="B541"/>
      <c r="F541" s="18"/>
    </row>
    <row r="542" spans="1:6" ht="16.5" customHeight="1" x14ac:dyDescent="0.3">
      <c r="A542" s="23"/>
      <c r="B542"/>
      <c r="F542" s="18"/>
    </row>
    <row r="543" spans="1:6" ht="16.5" customHeight="1" x14ac:dyDescent="0.3">
      <c r="A543" s="23"/>
      <c r="B543"/>
      <c r="F543" s="18"/>
    </row>
    <row r="544" spans="1:6" ht="16.5" customHeight="1" x14ac:dyDescent="0.3">
      <c r="A544" s="23"/>
      <c r="B544"/>
      <c r="F544" s="18"/>
    </row>
    <row r="545" spans="1:6" ht="16.5" customHeight="1" x14ac:dyDescent="0.3">
      <c r="A545" s="23"/>
      <c r="B545"/>
      <c r="F545" s="18"/>
    </row>
    <row r="546" spans="1:6" ht="16.5" customHeight="1" x14ac:dyDescent="0.3">
      <c r="A546" s="23"/>
      <c r="B546"/>
      <c r="F546" s="18"/>
    </row>
    <row r="547" spans="1:6" ht="16.5" customHeight="1" x14ac:dyDescent="0.3">
      <c r="A547" s="23"/>
      <c r="B547"/>
      <c r="F547" s="18"/>
    </row>
    <row r="548" spans="1:6" ht="16.5" customHeight="1" x14ac:dyDescent="0.3">
      <c r="A548" s="23"/>
      <c r="B548"/>
      <c r="F548" s="18"/>
    </row>
    <row r="549" spans="1:6" ht="16.5" customHeight="1" x14ac:dyDescent="0.3">
      <c r="A549" s="23"/>
      <c r="B549"/>
      <c r="F549" s="18"/>
    </row>
    <row r="550" spans="1:6" ht="16.5" customHeight="1" x14ac:dyDescent="0.3">
      <c r="A550" s="23"/>
      <c r="B550"/>
      <c r="F550" s="18"/>
    </row>
    <row r="551" spans="1:6" ht="16.5" customHeight="1" x14ac:dyDescent="0.3">
      <c r="A551" s="23"/>
      <c r="B551"/>
      <c r="F551" s="18"/>
    </row>
    <row r="552" spans="1:6" ht="16.5" customHeight="1" x14ac:dyDescent="0.3">
      <c r="A552" s="23"/>
      <c r="B552"/>
      <c r="F552" s="18"/>
    </row>
    <row r="553" spans="1:6" ht="16.5" customHeight="1" x14ac:dyDescent="0.3">
      <c r="A553" s="23"/>
      <c r="B553"/>
      <c r="F553" s="18"/>
    </row>
    <row r="554" spans="1:6" ht="16.5" customHeight="1" x14ac:dyDescent="0.3">
      <c r="A554" s="23"/>
      <c r="B554"/>
      <c r="F554" s="18"/>
    </row>
    <row r="555" spans="1:6" ht="16.5" customHeight="1" x14ac:dyDescent="0.3">
      <c r="A555" s="23"/>
      <c r="B555"/>
      <c r="F555" s="18"/>
    </row>
    <row r="556" spans="1:6" ht="16.5" customHeight="1" x14ac:dyDescent="0.3">
      <c r="A556" s="23"/>
      <c r="B556"/>
      <c r="F556" s="18"/>
    </row>
    <row r="557" spans="1:6" ht="16.5" customHeight="1" x14ac:dyDescent="0.3">
      <c r="A557" s="23"/>
      <c r="B557"/>
      <c r="F557" s="18"/>
    </row>
    <row r="558" spans="1:6" ht="16.5" customHeight="1" x14ac:dyDescent="0.3">
      <c r="A558" s="23"/>
      <c r="B558"/>
      <c r="F558" s="18"/>
    </row>
    <row r="559" spans="1:6" ht="16.5" customHeight="1" x14ac:dyDescent="0.3">
      <c r="A559" s="23"/>
      <c r="B559"/>
      <c r="F559" s="19"/>
    </row>
    <row r="560" spans="1:6" ht="16.5" customHeight="1" x14ac:dyDescent="0.3">
      <c r="A560" s="23"/>
      <c r="B560"/>
      <c r="F560" s="19"/>
    </row>
    <row r="561" spans="1:6" ht="16.5" customHeight="1" x14ac:dyDescent="0.3">
      <c r="A561" s="23"/>
      <c r="B561"/>
      <c r="F561" s="19"/>
    </row>
    <row r="562" spans="1:6" ht="16.5" customHeight="1" x14ac:dyDescent="0.3">
      <c r="A562" s="23"/>
      <c r="B562"/>
      <c r="F562" s="19"/>
    </row>
    <row r="563" spans="1:6" ht="16.5" customHeight="1" x14ac:dyDescent="0.3">
      <c r="A563" s="23"/>
      <c r="B563"/>
      <c r="F563" s="19"/>
    </row>
    <row r="564" spans="1:6" ht="16.5" customHeight="1" x14ac:dyDescent="0.3">
      <c r="A564" s="23"/>
      <c r="B564"/>
    </row>
    <row r="565" spans="1:6" ht="16.5" customHeight="1" x14ac:dyDescent="0.3">
      <c r="A565" s="23"/>
      <c r="B565"/>
    </row>
    <row r="566" spans="1:6" ht="16.5" customHeight="1" x14ac:dyDescent="0.3">
      <c r="A566" s="23"/>
      <c r="B566"/>
    </row>
    <row r="567" spans="1:6" ht="16.5" customHeight="1" x14ac:dyDescent="0.3">
      <c r="A567" s="23"/>
      <c r="B567"/>
    </row>
    <row r="568" spans="1:6" ht="16.5" customHeight="1" x14ac:dyDescent="0.3">
      <c r="A568" s="23"/>
      <c r="B568"/>
    </row>
    <row r="569" spans="1:6" ht="16.5" customHeight="1" x14ac:dyDescent="0.3">
      <c r="A569" s="23"/>
      <c r="B569"/>
    </row>
    <row r="570" spans="1:6" ht="16.5" customHeight="1" x14ac:dyDescent="0.3">
      <c r="A570" s="23"/>
      <c r="B570"/>
    </row>
    <row r="571" spans="1:6" ht="16.5" customHeight="1" x14ac:dyDescent="0.3">
      <c r="A571" s="23"/>
      <c r="B571"/>
    </row>
    <row r="572" spans="1:6" ht="16.5" customHeight="1" x14ac:dyDescent="0.3">
      <c r="A572" s="23"/>
      <c r="B572"/>
    </row>
    <row r="573" spans="1:6" ht="16.5" customHeight="1" x14ac:dyDescent="0.3">
      <c r="A573" s="23"/>
      <c r="B573"/>
    </row>
    <row r="574" spans="1:6" ht="16.5" customHeight="1" x14ac:dyDescent="0.3">
      <c r="A574" s="23"/>
      <c r="B574"/>
    </row>
    <row r="575" spans="1:6" ht="16.5" customHeight="1" x14ac:dyDescent="0.3">
      <c r="A575" s="23"/>
      <c r="B575"/>
    </row>
    <row r="576" spans="1:6" ht="16.5" customHeight="1" x14ac:dyDescent="0.3">
      <c r="A576" s="23"/>
      <c r="B576"/>
    </row>
    <row r="577" spans="1:2" ht="16.5" customHeight="1" x14ac:dyDescent="0.3">
      <c r="A577" s="23"/>
      <c r="B577"/>
    </row>
    <row r="578" spans="1:2" ht="16.5" customHeight="1" x14ac:dyDescent="0.3">
      <c r="A578" s="23"/>
      <c r="B578"/>
    </row>
    <row r="579" spans="1:2" ht="16.5" customHeight="1" x14ac:dyDescent="0.3">
      <c r="A579" s="23"/>
      <c r="B579"/>
    </row>
    <row r="580" spans="1:2" ht="16.5" customHeight="1" x14ac:dyDescent="0.3">
      <c r="A580" s="23"/>
      <c r="B580"/>
    </row>
    <row r="581" spans="1:2" ht="16.5" customHeight="1" x14ac:dyDescent="0.3">
      <c r="A581" s="23"/>
      <c r="B581"/>
    </row>
    <row r="582" spans="1:2" ht="16.5" customHeight="1" x14ac:dyDescent="0.3">
      <c r="A582" s="23"/>
      <c r="B582"/>
    </row>
    <row r="583" spans="1:2" ht="16.5" customHeight="1" x14ac:dyDescent="0.3">
      <c r="A583" s="23"/>
      <c r="B583"/>
    </row>
    <row r="584" spans="1:2" ht="16.5" customHeight="1" x14ac:dyDescent="0.3">
      <c r="A584" s="23"/>
      <c r="B584"/>
    </row>
    <row r="585" spans="1:2" ht="16.5" customHeight="1" x14ac:dyDescent="0.3">
      <c r="A585" s="23"/>
      <c r="B585"/>
    </row>
    <row r="586" spans="1:2" ht="16.5" customHeight="1" x14ac:dyDescent="0.3">
      <c r="A586" s="23"/>
      <c r="B586"/>
    </row>
    <row r="587" spans="1:2" ht="16.5" customHeight="1" x14ac:dyDescent="0.3">
      <c r="A587" s="23"/>
      <c r="B587"/>
    </row>
    <row r="588" spans="1:2" ht="16.5" customHeight="1" x14ac:dyDescent="0.3">
      <c r="A588" s="23"/>
      <c r="B588"/>
    </row>
    <row r="589" spans="1:2" ht="16.5" customHeight="1" x14ac:dyDescent="0.3">
      <c r="A589" s="23"/>
      <c r="B589"/>
    </row>
    <row r="590" spans="1:2" ht="16.5" customHeight="1" x14ac:dyDescent="0.3">
      <c r="A590" s="23"/>
      <c r="B590"/>
    </row>
    <row r="591" spans="1:2" ht="16.5" customHeight="1" x14ac:dyDescent="0.3">
      <c r="A591" s="23"/>
      <c r="B591"/>
    </row>
    <row r="592" spans="1:2" ht="16.5" customHeight="1" x14ac:dyDescent="0.3">
      <c r="A592" s="23"/>
      <c r="B592"/>
    </row>
    <row r="593" spans="1:2" ht="16.5" customHeight="1" x14ac:dyDescent="0.3">
      <c r="A593" s="23"/>
      <c r="B593"/>
    </row>
    <row r="594" spans="1:2" ht="16.5" customHeight="1" x14ac:dyDescent="0.3">
      <c r="A594" s="23"/>
      <c r="B594"/>
    </row>
    <row r="595" spans="1:2" ht="16.5" customHeight="1" x14ac:dyDescent="0.3">
      <c r="A595" s="23"/>
      <c r="B595"/>
    </row>
    <row r="596" spans="1:2" ht="16.5" customHeight="1" x14ac:dyDescent="0.3">
      <c r="A596" s="23"/>
      <c r="B596"/>
    </row>
    <row r="597" spans="1:2" ht="16.5" customHeight="1" x14ac:dyDescent="0.3">
      <c r="A597" s="23"/>
      <c r="B597"/>
    </row>
    <row r="598" spans="1:2" ht="16.5" customHeight="1" x14ac:dyDescent="0.3">
      <c r="A598" s="23"/>
      <c r="B598"/>
    </row>
    <row r="599" spans="1:2" ht="16.5" customHeight="1" x14ac:dyDescent="0.3">
      <c r="A599" s="23"/>
      <c r="B599"/>
    </row>
    <row r="600" spans="1:2" ht="16.5" customHeight="1" x14ac:dyDescent="0.3">
      <c r="A600" s="23"/>
      <c r="B600"/>
    </row>
    <row r="601" spans="1:2" ht="16.5" customHeight="1" x14ac:dyDescent="0.3">
      <c r="A601" s="23"/>
      <c r="B601"/>
    </row>
    <row r="602" spans="1:2" ht="16.5" customHeight="1" x14ac:dyDescent="0.3">
      <c r="A602" s="23"/>
      <c r="B602"/>
    </row>
    <row r="603" spans="1:2" ht="16.5" customHeight="1" x14ac:dyDescent="0.3">
      <c r="A603" s="23"/>
      <c r="B603"/>
    </row>
    <row r="604" spans="1:2" ht="16.5" customHeight="1" x14ac:dyDescent="0.3">
      <c r="A604" s="23"/>
      <c r="B604"/>
    </row>
    <row r="605" spans="1:2" ht="16.5" customHeight="1" x14ac:dyDescent="0.3">
      <c r="A605" s="23"/>
      <c r="B605"/>
    </row>
    <row r="606" spans="1:2" ht="16.5" customHeight="1" x14ac:dyDescent="0.3">
      <c r="A606" s="23"/>
      <c r="B606"/>
    </row>
    <row r="607" spans="1:2" ht="16.5" customHeight="1" x14ac:dyDescent="0.3">
      <c r="A607" s="23"/>
      <c r="B607"/>
    </row>
    <row r="608" spans="1:2" ht="16.5" customHeight="1" x14ac:dyDescent="0.3">
      <c r="A608" s="23"/>
      <c r="B608"/>
    </row>
    <row r="609" spans="1:2" ht="16.5" customHeight="1" x14ac:dyDescent="0.3">
      <c r="A609" s="23"/>
      <c r="B609"/>
    </row>
    <row r="610" spans="1:2" ht="16.5" customHeight="1" x14ac:dyDescent="0.3">
      <c r="A610" s="23"/>
      <c r="B610"/>
    </row>
    <row r="611" spans="1:2" ht="16.5" customHeight="1" x14ac:dyDescent="0.3">
      <c r="A611" s="23"/>
      <c r="B611"/>
    </row>
    <row r="612" spans="1:2" ht="16.5" customHeight="1" x14ac:dyDescent="0.3">
      <c r="A612" s="23"/>
      <c r="B612"/>
    </row>
    <row r="613" spans="1:2" ht="16.5" customHeight="1" x14ac:dyDescent="0.3">
      <c r="A613" s="23"/>
      <c r="B613"/>
    </row>
    <row r="614" spans="1:2" ht="16.5" customHeight="1" x14ac:dyDescent="0.3">
      <c r="A614" s="23"/>
      <c r="B614"/>
    </row>
    <row r="615" spans="1:2" ht="16.5" customHeight="1" x14ac:dyDescent="0.3">
      <c r="A615" s="23"/>
      <c r="B615"/>
    </row>
    <row r="616" spans="1:2" ht="16.5" customHeight="1" x14ac:dyDescent="0.3">
      <c r="A616" s="23"/>
      <c r="B616"/>
    </row>
    <row r="617" spans="1:2" ht="16.5" customHeight="1" x14ac:dyDescent="0.3">
      <c r="A617" s="23"/>
      <c r="B617"/>
    </row>
    <row r="618" spans="1:2" ht="16.5" customHeight="1" x14ac:dyDescent="0.3">
      <c r="A618" s="23"/>
      <c r="B618"/>
    </row>
    <row r="619" spans="1:2" ht="16.5" customHeight="1" x14ac:dyDescent="0.3">
      <c r="A619" s="23"/>
      <c r="B619"/>
    </row>
    <row r="620" spans="1:2" ht="16.5" customHeight="1" x14ac:dyDescent="0.3">
      <c r="A620" s="23"/>
      <c r="B620"/>
    </row>
    <row r="621" spans="1:2" ht="16.5" customHeight="1" x14ac:dyDescent="0.3">
      <c r="A621" s="23"/>
      <c r="B621"/>
    </row>
    <row r="622" spans="1:2" ht="16.5" customHeight="1" x14ac:dyDescent="0.3">
      <c r="A622" s="23"/>
      <c r="B622"/>
    </row>
    <row r="623" spans="1:2" ht="16.5" customHeight="1" x14ac:dyDescent="0.3">
      <c r="A623" s="23"/>
      <c r="B623"/>
    </row>
    <row r="624" spans="1:2" ht="16.5" customHeight="1" x14ac:dyDescent="0.3">
      <c r="A624" s="23"/>
      <c r="B624"/>
    </row>
    <row r="625" spans="1:2" ht="16.5" customHeight="1" x14ac:dyDescent="0.3">
      <c r="A625" s="23"/>
      <c r="B625"/>
    </row>
    <row r="626" spans="1:2" ht="16.5" customHeight="1" x14ac:dyDescent="0.3">
      <c r="A626" s="23"/>
      <c r="B626"/>
    </row>
    <row r="627" spans="1:2" ht="16.5" customHeight="1" x14ac:dyDescent="0.3">
      <c r="A627" s="23"/>
      <c r="B627"/>
    </row>
    <row r="628" spans="1:2" ht="16.5" customHeight="1" x14ac:dyDescent="0.3">
      <c r="A628" s="23"/>
      <c r="B628"/>
    </row>
    <row r="629" spans="1:2" ht="16.5" customHeight="1" x14ac:dyDescent="0.3">
      <c r="A629" s="23"/>
      <c r="B629"/>
    </row>
    <row r="630" spans="1:2" ht="16.5" customHeight="1" x14ac:dyDescent="0.3">
      <c r="A630" s="23"/>
      <c r="B630"/>
    </row>
    <row r="631" spans="1:2" ht="16.5" customHeight="1" x14ac:dyDescent="0.3">
      <c r="A631" s="23"/>
      <c r="B631"/>
    </row>
    <row r="632" spans="1:2" ht="16.5" customHeight="1" x14ac:dyDescent="0.3">
      <c r="A632" s="23"/>
      <c r="B632"/>
    </row>
    <row r="633" spans="1:2" ht="16.5" customHeight="1" x14ac:dyDescent="0.3">
      <c r="A633" s="23"/>
      <c r="B633"/>
    </row>
    <row r="634" spans="1:2" ht="16.5" customHeight="1" x14ac:dyDescent="0.3">
      <c r="A634" s="23"/>
      <c r="B634"/>
    </row>
    <row r="635" spans="1:2" ht="16.5" customHeight="1" x14ac:dyDescent="0.3">
      <c r="A635" s="23"/>
      <c r="B635"/>
    </row>
    <row r="636" spans="1:2" ht="16.5" customHeight="1" x14ac:dyDescent="0.3">
      <c r="A636" s="23"/>
      <c r="B636"/>
    </row>
    <row r="637" spans="1:2" ht="16.5" customHeight="1" x14ac:dyDescent="0.3">
      <c r="A637" s="23"/>
      <c r="B637"/>
    </row>
    <row r="638" spans="1:2" ht="16.5" customHeight="1" x14ac:dyDescent="0.3">
      <c r="A638" s="23"/>
      <c r="B638"/>
    </row>
    <row r="639" spans="1:2" ht="16.5" customHeight="1" x14ac:dyDescent="0.3">
      <c r="A639" s="23"/>
      <c r="B639"/>
    </row>
    <row r="640" spans="1:2" ht="16.5" customHeight="1" x14ac:dyDescent="0.3">
      <c r="A640" s="23"/>
      <c r="B640"/>
    </row>
    <row r="641" spans="1:2" ht="16.5" customHeight="1" x14ac:dyDescent="0.3">
      <c r="A641" s="23"/>
      <c r="B641"/>
    </row>
    <row r="642" spans="1:2" ht="16.5" customHeight="1" x14ac:dyDescent="0.3">
      <c r="A642" s="23"/>
      <c r="B642"/>
    </row>
    <row r="643" spans="1:2" ht="16.5" customHeight="1" x14ac:dyDescent="0.3">
      <c r="A643" s="23"/>
      <c r="B643"/>
    </row>
    <row r="644" spans="1:2" ht="16.5" customHeight="1" x14ac:dyDescent="0.3">
      <c r="A644" s="23"/>
      <c r="B644"/>
    </row>
    <row r="645" spans="1:2" ht="16.5" customHeight="1" x14ac:dyDescent="0.3">
      <c r="A645" s="23"/>
      <c r="B645"/>
    </row>
    <row r="646" spans="1:2" ht="16.5" customHeight="1" x14ac:dyDescent="0.3">
      <c r="A646" s="23"/>
      <c r="B646"/>
    </row>
    <row r="647" spans="1:2" ht="16.5" customHeight="1" x14ac:dyDescent="0.3">
      <c r="A647" s="23"/>
      <c r="B647"/>
    </row>
    <row r="648" spans="1:2" ht="16.5" customHeight="1" x14ac:dyDescent="0.3">
      <c r="A648" s="23"/>
      <c r="B648"/>
    </row>
    <row r="649" spans="1:2" ht="16.5" customHeight="1" x14ac:dyDescent="0.3">
      <c r="A649" s="23"/>
      <c r="B649"/>
    </row>
    <row r="650" spans="1:2" ht="16.5" customHeight="1" x14ac:dyDescent="0.3">
      <c r="A650" s="23"/>
      <c r="B650"/>
    </row>
    <row r="651" spans="1:2" ht="16.5" customHeight="1" x14ac:dyDescent="0.3">
      <c r="A651" s="23"/>
      <c r="B651"/>
    </row>
    <row r="652" spans="1:2" ht="16.5" customHeight="1" x14ac:dyDescent="0.3">
      <c r="A652" s="23"/>
      <c r="B652"/>
    </row>
    <row r="653" spans="1:2" ht="16.5" customHeight="1" x14ac:dyDescent="0.3">
      <c r="A653" s="23"/>
      <c r="B653"/>
    </row>
    <row r="654" spans="1:2" ht="16.5" customHeight="1" x14ac:dyDescent="0.3">
      <c r="A654" s="23"/>
      <c r="B654"/>
    </row>
    <row r="655" spans="1:2" ht="16.5" customHeight="1" x14ac:dyDescent="0.3">
      <c r="A655" s="23"/>
      <c r="B655"/>
    </row>
    <row r="656" spans="1:2" ht="16.5" customHeight="1" x14ac:dyDescent="0.3">
      <c r="A656" s="23"/>
      <c r="B656"/>
    </row>
    <row r="657" spans="1:2" ht="16.5" customHeight="1" x14ac:dyDescent="0.3">
      <c r="A657" s="23"/>
      <c r="B657"/>
    </row>
    <row r="658" spans="1:2" ht="16.5" customHeight="1" x14ac:dyDescent="0.3">
      <c r="A658" s="23"/>
      <c r="B658"/>
    </row>
    <row r="659" spans="1:2" ht="16.5" customHeight="1" x14ac:dyDescent="0.3">
      <c r="A659" s="23"/>
      <c r="B659"/>
    </row>
    <row r="660" spans="1:2" ht="16.5" customHeight="1" x14ac:dyDescent="0.3">
      <c r="A660" s="23"/>
      <c r="B660"/>
    </row>
    <row r="661" spans="1:2" ht="16.5" customHeight="1" x14ac:dyDescent="0.3">
      <c r="A661" s="23"/>
      <c r="B661"/>
    </row>
    <row r="662" spans="1:2" ht="16.5" customHeight="1" x14ac:dyDescent="0.3">
      <c r="A662" s="23"/>
      <c r="B662"/>
    </row>
    <row r="663" spans="1:2" ht="16.5" customHeight="1" x14ac:dyDescent="0.3">
      <c r="A663" s="23"/>
      <c r="B663"/>
    </row>
    <row r="664" spans="1:2" ht="16.5" customHeight="1" x14ac:dyDescent="0.3">
      <c r="A664" s="23"/>
      <c r="B664"/>
    </row>
    <row r="665" spans="1:2" ht="16.5" customHeight="1" x14ac:dyDescent="0.3">
      <c r="A665" s="23"/>
      <c r="B665"/>
    </row>
    <row r="666" spans="1:2" ht="16.5" customHeight="1" x14ac:dyDescent="0.3">
      <c r="A666" s="23"/>
      <c r="B666"/>
    </row>
    <row r="667" spans="1:2" ht="16.5" customHeight="1" x14ac:dyDescent="0.3">
      <c r="A667" s="23"/>
      <c r="B667"/>
    </row>
    <row r="668" spans="1:2" ht="16.5" customHeight="1" x14ac:dyDescent="0.3">
      <c r="A668" s="23"/>
      <c r="B668"/>
    </row>
    <row r="669" spans="1:2" ht="16.5" customHeight="1" x14ac:dyDescent="0.3">
      <c r="A669" s="23"/>
      <c r="B669"/>
    </row>
    <row r="670" spans="1:2" ht="16.5" customHeight="1" x14ac:dyDescent="0.3">
      <c r="A670" s="23"/>
      <c r="B670"/>
    </row>
    <row r="671" spans="1:2" ht="16.5" customHeight="1" x14ac:dyDescent="0.3">
      <c r="A671" s="23"/>
      <c r="B671"/>
    </row>
    <row r="672" spans="1:2" ht="16.5" customHeight="1" x14ac:dyDescent="0.3">
      <c r="A672" s="23"/>
      <c r="B672"/>
    </row>
    <row r="673" spans="1:2" ht="16.5" customHeight="1" x14ac:dyDescent="0.3">
      <c r="A673" s="23"/>
      <c r="B673"/>
    </row>
    <row r="674" spans="1:2" ht="16.5" customHeight="1" x14ac:dyDescent="0.3">
      <c r="A674" s="23"/>
      <c r="B674"/>
    </row>
    <row r="675" spans="1:2" ht="16.5" customHeight="1" x14ac:dyDescent="0.3">
      <c r="A675" s="23"/>
      <c r="B675"/>
    </row>
    <row r="676" spans="1:2" ht="16.5" customHeight="1" x14ac:dyDescent="0.3">
      <c r="A676" s="23"/>
      <c r="B676"/>
    </row>
    <row r="677" spans="1:2" ht="16.5" customHeight="1" x14ac:dyDescent="0.3">
      <c r="A677" s="23"/>
      <c r="B677"/>
    </row>
    <row r="678" spans="1:2" ht="16.5" customHeight="1" x14ac:dyDescent="0.3">
      <c r="A678" s="23"/>
      <c r="B678"/>
    </row>
    <row r="679" spans="1:2" ht="16.5" customHeight="1" x14ac:dyDescent="0.3">
      <c r="A679" s="23"/>
      <c r="B679"/>
    </row>
    <row r="680" spans="1:2" ht="16.5" customHeight="1" x14ac:dyDescent="0.3">
      <c r="A680" s="23"/>
      <c r="B680"/>
    </row>
    <row r="681" spans="1:2" ht="16.5" customHeight="1" x14ac:dyDescent="0.3">
      <c r="A681" s="23"/>
      <c r="B681"/>
    </row>
    <row r="682" spans="1:2" ht="16.5" customHeight="1" x14ac:dyDescent="0.3">
      <c r="A682" s="23"/>
      <c r="B682"/>
    </row>
    <row r="683" spans="1:2" ht="16.5" customHeight="1" x14ac:dyDescent="0.3">
      <c r="A683" s="23"/>
      <c r="B683"/>
    </row>
    <row r="684" spans="1:2" ht="16.5" customHeight="1" x14ac:dyDescent="0.3">
      <c r="A684" s="23"/>
      <c r="B684"/>
    </row>
    <row r="685" spans="1:2" ht="16.5" customHeight="1" x14ac:dyDescent="0.3">
      <c r="A685" s="23"/>
      <c r="B685"/>
    </row>
    <row r="686" spans="1:2" ht="16.5" customHeight="1" x14ac:dyDescent="0.3">
      <c r="A686" s="23"/>
      <c r="B686"/>
    </row>
    <row r="687" spans="1:2" ht="16.5" customHeight="1" x14ac:dyDescent="0.3">
      <c r="A687" s="23"/>
      <c r="B687"/>
    </row>
    <row r="688" spans="1:2" ht="16.5" customHeight="1" x14ac:dyDescent="0.3">
      <c r="A688" s="23"/>
      <c r="B688"/>
    </row>
    <row r="689" spans="1:2" ht="16.5" customHeight="1" x14ac:dyDescent="0.3">
      <c r="A689" s="23"/>
      <c r="B689"/>
    </row>
    <row r="690" spans="1:2" ht="16.5" customHeight="1" x14ac:dyDescent="0.3">
      <c r="A690" s="23"/>
      <c r="B690"/>
    </row>
    <row r="691" spans="1:2" ht="16.5" customHeight="1" x14ac:dyDescent="0.3">
      <c r="A691" s="23"/>
      <c r="B691"/>
    </row>
    <row r="692" spans="1:2" ht="16.5" customHeight="1" x14ac:dyDescent="0.3">
      <c r="A692" s="23"/>
      <c r="B692"/>
    </row>
    <row r="693" spans="1:2" ht="16.5" customHeight="1" x14ac:dyDescent="0.3">
      <c r="A693" s="23"/>
      <c r="B693"/>
    </row>
    <row r="694" spans="1:2" ht="16.5" customHeight="1" x14ac:dyDescent="0.3">
      <c r="A694" s="23"/>
      <c r="B694"/>
    </row>
    <row r="695" spans="1:2" ht="16.5" customHeight="1" x14ac:dyDescent="0.3">
      <c r="A695" s="23"/>
      <c r="B695"/>
    </row>
    <row r="696" spans="1:2" ht="16.5" customHeight="1" x14ac:dyDescent="0.3">
      <c r="A696" s="23"/>
      <c r="B696"/>
    </row>
    <row r="697" spans="1:2" ht="16.5" customHeight="1" x14ac:dyDescent="0.3">
      <c r="A697" s="23"/>
      <c r="B697"/>
    </row>
    <row r="698" spans="1:2" ht="16.5" customHeight="1" x14ac:dyDescent="0.3">
      <c r="A698" s="23"/>
      <c r="B698"/>
    </row>
    <row r="699" spans="1:2" ht="16.5" customHeight="1" x14ac:dyDescent="0.3">
      <c r="A699" s="23"/>
      <c r="B699"/>
    </row>
    <row r="700" spans="1:2" ht="16.5" customHeight="1" x14ac:dyDescent="0.3">
      <c r="A700" s="23"/>
      <c r="B700"/>
    </row>
    <row r="701" spans="1:2" ht="16.5" customHeight="1" x14ac:dyDescent="0.3">
      <c r="A701" s="23"/>
      <c r="B701"/>
    </row>
    <row r="702" spans="1:2" ht="16.5" customHeight="1" x14ac:dyDescent="0.3">
      <c r="A702" s="23"/>
      <c r="B702"/>
    </row>
    <row r="703" spans="1:2" ht="16.5" customHeight="1" x14ac:dyDescent="0.3">
      <c r="A703" s="23"/>
      <c r="B703"/>
    </row>
    <row r="704" spans="1:2" ht="16.5" customHeight="1" x14ac:dyDescent="0.3">
      <c r="A704" s="23"/>
      <c r="B704"/>
    </row>
    <row r="705" spans="1:2" ht="16.5" customHeight="1" x14ac:dyDescent="0.3">
      <c r="A705" s="23"/>
      <c r="B705"/>
    </row>
    <row r="706" spans="1:2" ht="16.5" customHeight="1" x14ac:dyDescent="0.3">
      <c r="A706" s="23"/>
      <c r="B706"/>
    </row>
    <row r="707" spans="1:2" ht="16.5" customHeight="1" x14ac:dyDescent="0.3">
      <c r="A707" s="23"/>
      <c r="B707"/>
    </row>
    <row r="708" spans="1:2" ht="16.5" customHeight="1" x14ac:dyDescent="0.3">
      <c r="A708" s="23"/>
      <c r="B708"/>
    </row>
    <row r="709" spans="1:2" ht="16.5" customHeight="1" x14ac:dyDescent="0.3">
      <c r="A709" s="23"/>
      <c r="B709"/>
    </row>
    <row r="710" spans="1:2" ht="16.5" customHeight="1" x14ac:dyDescent="0.3">
      <c r="A710" s="23"/>
      <c r="B710"/>
    </row>
    <row r="711" spans="1:2" ht="16.5" customHeight="1" x14ac:dyDescent="0.3">
      <c r="A711" s="23"/>
      <c r="B711"/>
    </row>
    <row r="712" spans="1:2" ht="16.5" customHeight="1" x14ac:dyDescent="0.3">
      <c r="A712" s="23"/>
      <c r="B712"/>
    </row>
    <row r="713" spans="1:2" ht="16.5" customHeight="1" x14ac:dyDescent="0.3">
      <c r="A713" s="23"/>
      <c r="B713"/>
    </row>
    <row r="714" spans="1:2" ht="16.5" customHeight="1" x14ac:dyDescent="0.3">
      <c r="A714" s="23"/>
      <c r="B714"/>
    </row>
    <row r="715" spans="1:2" ht="16.5" customHeight="1" x14ac:dyDescent="0.3">
      <c r="A715" s="23"/>
      <c r="B715"/>
    </row>
    <row r="716" spans="1:2" ht="16.5" customHeight="1" x14ac:dyDescent="0.3">
      <c r="A716" s="23"/>
      <c r="B716"/>
    </row>
    <row r="717" spans="1:2" ht="16.5" customHeight="1" x14ac:dyDescent="0.3">
      <c r="A717" s="23"/>
      <c r="B717"/>
    </row>
    <row r="718" spans="1:2" ht="16.5" customHeight="1" x14ac:dyDescent="0.3">
      <c r="A718" s="23"/>
      <c r="B718"/>
    </row>
    <row r="719" spans="1:2" ht="16.5" customHeight="1" x14ac:dyDescent="0.3">
      <c r="A719" s="23"/>
      <c r="B719"/>
    </row>
    <row r="720" spans="1:2" ht="16.5" customHeight="1" x14ac:dyDescent="0.3">
      <c r="A720" s="23"/>
      <c r="B720"/>
    </row>
    <row r="721" spans="1:2" ht="16.5" customHeight="1" x14ac:dyDescent="0.3">
      <c r="A721" s="23"/>
      <c r="B721"/>
    </row>
    <row r="722" spans="1:2" ht="16.5" customHeight="1" x14ac:dyDescent="0.3">
      <c r="A722" s="23"/>
      <c r="B722"/>
    </row>
    <row r="723" spans="1:2" ht="16.5" customHeight="1" x14ac:dyDescent="0.3">
      <c r="A723" s="23"/>
      <c r="B723"/>
    </row>
    <row r="724" spans="1:2" ht="16.5" customHeight="1" x14ac:dyDescent="0.3">
      <c r="A724" s="23"/>
      <c r="B724"/>
    </row>
    <row r="725" spans="1:2" ht="16.5" customHeight="1" x14ac:dyDescent="0.3">
      <c r="A725" s="23"/>
      <c r="B725"/>
    </row>
    <row r="726" spans="1:2" ht="16.5" customHeight="1" x14ac:dyDescent="0.3">
      <c r="A726" s="23"/>
      <c r="B726"/>
    </row>
    <row r="727" spans="1:2" ht="16.5" customHeight="1" x14ac:dyDescent="0.3">
      <c r="A727" s="23"/>
      <c r="B727"/>
    </row>
    <row r="728" spans="1:2" ht="16.5" customHeight="1" x14ac:dyDescent="0.3">
      <c r="A728" s="23"/>
      <c r="B728"/>
    </row>
    <row r="729" spans="1:2" ht="16.5" customHeight="1" x14ac:dyDescent="0.3">
      <c r="A729" s="23"/>
      <c r="B729"/>
    </row>
    <row r="730" spans="1:2" ht="16.5" customHeight="1" x14ac:dyDescent="0.3">
      <c r="A730" s="23"/>
      <c r="B730"/>
    </row>
    <row r="731" spans="1:2" ht="16.5" customHeight="1" x14ac:dyDescent="0.3">
      <c r="A731" s="23"/>
      <c r="B731"/>
    </row>
    <row r="732" spans="1:2" ht="16.5" customHeight="1" x14ac:dyDescent="0.3">
      <c r="A732" s="23"/>
      <c r="B732"/>
    </row>
    <row r="733" spans="1:2" ht="16.5" customHeight="1" x14ac:dyDescent="0.3">
      <c r="A733" s="23"/>
      <c r="B733"/>
    </row>
    <row r="734" spans="1:2" ht="16.5" customHeight="1" x14ac:dyDescent="0.3">
      <c r="A734" s="23"/>
      <c r="B734"/>
    </row>
    <row r="735" spans="1:2" ht="16.5" customHeight="1" x14ac:dyDescent="0.3">
      <c r="A735" s="23"/>
      <c r="B735"/>
    </row>
    <row r="736" spans="1:2" ht="16.5" customHeight="1" x14ac:dyDescent="0.3">
      <c r="A736" s="23"/>
      <c r="B736"/>
    </row>
    <row r="737" spans="1:2" ht="16.5" customHeight="1" x14ac:dyDescent="0.3">
      <c r="A737" s="23"/>
      <c r="B737"/>
    </row>
    <row r="738" spans="1:2" ht="16.5" customHeight="1" x14ac:dyDescent="0.3">
      <c r="A738" s="23"/>
      <c r="B738"/>
    </row>
    <row r="739" spans="1:2" ht="16.5" customHeight="1" x14ac:dyDescent="0.3">
      <c r="A739" s="23"/>
      <c r="B739"/>
    </row>
    <row r="740" spans="1:2" ht="16.5" customHeight="1" x14ac:dyDescent="0.3">
      <c r="A740" s="23"/>
      <c r="B740"/>
    </row>
    <row r="741" spans="1:2" ht="16.5" customHeight="1" x14ac:dyDescent="0.3">
      <c r="A741" s="23"/>
      <c r="B741"/>
    </row>
    <row r="742" spans="1:2" ht="16.5" customHeight="1" x14ac:dyDescent="0.3">
      <c r="A742" s="23"/>
      <c r="B742"/>
    </row>
    <row r="743" spans="1:2" ht="16.5" customHeight="1" x14ac:dyDescent="0.3">
      <c r="A743" s="23"/>
      <c r="B743"/>
    </row>
    <row r="744" spans="1:2" ht="16.5" customHeight="1" x14ac:dyDescent="0.3">
      <c r="A744" s="23"/>
      <c r="B744"/>
    </row>
    <row r="745" spans="1:2" ht="16.5" customHeight="1" x14ac:dyDescent="0.3">
      <c r="A745" s="23"/>
      <c r="B745"/>
    </row>
    <row r="746" spans="1:2" ht="16.5" customHeight="1" x14ac:dyDescent="0.3">
      <c r="A746" s="23"/>
      <c r="B746"/>
    </row>
    <row r="747" spans="1:2" ht="16.5" customHeight="1" x14ac:dyDescent="0.3">
      <c r="A747" s="23"/>
      <c r="B747"/>
    </row>
    <row r="748" spans="1:2" ht="16.5" customHeight="1" x14ac:dyDescent="0.3">
      <c r="A748" s="23"/>
      <c r="B748"/>
    </row>
    <row r="749" spans="1:2" ht="16.5" customHeight="1" x14ac:dyDescent="0.3">
      <c r="A749" s="23"/>
      <c r="B749"/>
    </row>
    <row r="750" spans="1:2" ht="16.5" customHeight="1" x14ac:dyDescent="0.3">
      <c r="A750" s="23"/>
      <c r="B750"/>
    </row>
    <row r="751" spans="1:2" ht="16.5" customHeight="1" x14ac:dyDescent="0.3">
      <c r="A751" s="23"/>
      <c r="B751"/>
    </row>
    <row r="752" spans="1:2" ht="16.5" customHeight="1" x14ac:dyDescent="0.3">
      <c r="A752" s="23"/>
      <c r="B752"/>
    </row>
    <row r="753" spans="1:2" ht="16.5" customHeight="1" x14ac:dyDescent="0.3">
      <c r="A753" s="23"/>
      <c r="B753"/>
    </row>
    <row r="754" spans="1:2" ht="16.5" customHeight="1" x14ac:dyDescent="0.3">
      <c r="A754" s="23"/>
      <c r="B754"/>
    </row>
    <row r="755" spans="1:2" ht="16.5" customHeight="1" x14ac:dyDescent="0.3">
      <c r="A755" s="23"/>
      <c r="B755"/>
    </row>
    <row r="756" spans="1:2" ht="16.5" customHeight="1" x14ac:dyDescent="0.3">
      <c r="A756" s="23"/>
      <c r="B756"/>
    </row>
    <row r="757" spans="1:2" ht="16.5" customHeight="1" x14ac:dyDescent="0.3">
      <c r="A757" s="23"/>
      <c r="B757"/>
    </row>
    <row r="758" spans="1:2" ht="16.5" customHeight="1" x14ac:dyDescent="0.3">
      <c r="A758" s="23"/>
      <c r="B758"/>
    </row>
    <row r="759" spans="1:2" ht="16.5" customHeight="1" x14ac:dyDescent="0.3">
      <c r="A759" s="23"/>
      <c r="B759"/>
    </row>
    <row r="760" spans="1:2" ht="16.5" customHeight="1" x14ac:dyDescent="0.3">
      <c r="A760" s="23"/>
      <c r="B760"/>
    </row>
    <row r="761" spans="1:2" ht="16.5" customHeight="1" x14ac:dyDescent="0.3">
      <c r="A761" s="23"/>
      <c r="B761"/>
    </row>
    <row r="762" spans="1:2" ht="16.5" customHeight="1" x14ac:dyDescent="0.3">
      <c r="A762" s="23"/>
      <c r="B762"/>
    </row>
    <row r="763" spans="1:2" ht="16.5" customHeight="1" x14ac:dyDescent="0.3">
      <c r="A763" s="23"/>
      <c r="B763"/>
    </row>
    <row r="764" spans="1:2" ht="16.5" customHeight="1" x14ac:dyDescent="0.3">
      <c r="A764" s="23"/>
      <c r="B764"/>
    </row>
    <row r="765" spans="1:2" ht="16.5" customHeight="1" x14ac:dyDescent="0.3">
      <c r="A765" s="23"/>
      <c r="B765"/>
    </row>
    <row r="766" spans="1:2" ht="16.5" customHeight="1" x14ac:dyDescent="0.3">
      <c r="A766" s="23"/>
      <c r="B766"/>
    </row>
    <row r="767" spans="1:2" ht="16.5" customHeight="1" x14ac:dyDescent="0.3">
      <c r="A767" s="23"/>
      <c r="B767"/>
    </row>
    <row r="768" spans="1:2" ht="16.5" customHeight="1" x14ac:dyDescent="0.3">
      <c r="A768" s="23"/>
      <c r="B768"/>
    </row>
    <row r="769" spans="1:2" ht="16.5" customHeight="1" x14ac:dyDescent="0.3">
      <c r="A769" s="23"/>
      <c r="B769"/>
    </row>
    <row r="770" spans="1:2" ht="16.5" customHeight="1" x14ac:dyDescent="0.3">
      <c r="A770" s="23"/>
      <c r="B770"/>
    </row>
    <row r="771" spans="1:2" ht="16.5" customHeight="1" x14ac:dyDescent="0.3">
      <c r="A771" s="23"/>
      <c r="B771"/>
    </row>
    <row r="772" spans="1:2" ht="16.5" customHeight="1" x14ac:dyDescent="0.3">
      <c r="A772" s="23"/>
      <c r="B772"/>
    </row>
    <row r="773" spans="1:2" ht="16.5" customHeight="1" x14ac:dyDescent="0.3">
      <c r="A773" s="23"/>
      <c r="B773"/>
    </row>
    <row r="774" spans="1:2" ht="16.5" customHeight="1" x14ac:dyDescent="0.3">
      <c r="A774" s="23"/>
      <c r="B774"/>
    </row>
    <row r="775" spans="1:2" ht="16.5" customHeight="1" x14ac:dyDescent="0.3">
      <c r="A775" s="23"/>
      <c r="B775"/>
    </row>
    <row r="776" spans="1:2" ht="16.5" customHeight="1" x14ac:dyDescent="0.3">
      <c r="A776" s="23"/>
      <c r="B776"/>
    </row>
    <row r="777" spans="1:2" ht="16.5" customHeight="1" x14ac:dyDescent="0.3">
      <c r="A777" s="23"/>
      <c r="B777"/>
    </row>
    <row r="778" spans="1:2" ht="16.5" customHeight="1" x14ac:dyDescent="0.3">
      <c r="A778" s="23"/>
      <c r="B778"/>
    </row>
    <row r="779" spans="1:2" ht="16.5" customHeight="1" x14ac:dyDescent="0.3">
      <c r="A779" s="23"/>
      <c r="B779"/>
    </row>
    <row r="780" spans="1:2" ht="16.5" customHeight="1" x14ac:dyDescent="0.3">
      <c r="A780" s="23"/>
      <c r="B780"/>
    </row>
    <row r="781" spans="1:2" ht="16.5" customHeight="1" x14ac:dyDescent="0.3">
      <c r="A781" s="23"/>
      <c r="B781"/>
    </row>
    <row r="782" spans="1:2" ht="16.5" customHeight="1" x14ac:dyDescent="0.3">
      <c r="A782" s="23"/>
      <c r="B782"/>
    </row>
    <row r="783" spans="1:2" ht="16.5" customHeight="1" x14ac:dyDescent="0.3">
      <c r="A783" s="23"/>
      <c r="B783"/>
    </row>
    <row r="784" spans="1:2" ht="16.5" customHeight="1" x14ac:dyDescent="0.3">
      <c r="A784" s="23"/>
      <c r="B784"/>
    </row>
    <row r="785" spans="1:2" ht="16.5" customHeight="1" x14ac:dyDescent="0.3">
      <c r="A785" s="23"/>
      <c r="B785"/>
    </row>
    <row r="786" spans="1:2" ht="16.5" customHeight="1" x14ac:dyDescent="0.3">
      <c r="A786" s="23"/>
      <c r="B786"/>
    </row>
    <row r="787" spans="1:2" ht="16.5" customHeight="1" x14ac:dyDescent="0.3">
      <c r="A787" s="23"/>
      <c r="B787"/>
    </row>
    <row r="788" spans="1:2" ht="16.5" customHeight="1" x14ac:dyDescent="0.3">
      <c r="A788" s="23"/>
      <c r="B788"/>
    </row>
    <row r="789" spans="1:2" ht="16.5" customHeight="1" x14ac:dyDescent="0.3">
      <c r="A789" s="23"/>
      <c r="B789"/>
    </row>
    <row r="790" spans="1:2" ht="16.5" customHeight="1" x14ac:dyDescent="0.3">
      <c r="A790" s="23"/>
      <c r="B790"/>
    </row>
    <row r="791" spans="1:2" ht="16.5" customHeight="1" x14ac:dyDescent="0.3">
      <c r="A791" s="23"/>
      <c r="B791"/>
    </row>
    <row r="792" spans="1:2" ht="16.5" customHeight="1" x14ac:dyDescent="0.3">
      <c r="A792" s="23"/>
      <c r="B792"/>
    </row>
    <row r="793" spans="1:2" ht="16.5" customHeight="1" x14ac:dyDescent="0.3">
      <c r="A793" s="23"/>
      <c r="B793"/>
    </row>
    <row r="794" spans="1:2" ht="16.5" customHeight="1" x14ac:dyDescent="0.3">
      <c r="A794" s="23"/>
      <c r="B794"/>
    </row>
    <row r="795" spans="1:2" ht="16.5" customHeight="1" x14ac:dyDescent="0.3">
      <c r="A795" s="23"/>
      <c r="B795"/>
    </row>
    <row r="796" spans="1:2" ht="16.5" customHeight="1" x14ac:dyDescent="0.3">
      <c r="A796" s="23"/>
      <c r="B796"/>
    </row>
    <row r="797" spans="1:2" ht="16.5" customHeight="1" x14ac:dyDescent="0.3">
      <c r="A797" s="23"/>
      <c r="B797"/>
    </row>
    <row r="798" spans="1:2" ht="16.5" customHeight="1" x14ac:dyDescent="0.3">
      <c r="A798" s="23"/>
      <c r="B798"/>
    </row>
    <row r="799" spans="1:2" ht="16.5" customHeight="1" x14ac:dyDescent="0.3">
      <c r="A799" s="23"/>
      <c r="B799"/>
    </row>
    <row r="800" spans="1:2" ht="16.5" customHeight="1" x14ac:dyDescent="0.3">
      <c r="A800" s="23"/>
      <c r="B800"/>
    </row>
    <row r="801" spans="1:2" ht="16.5" customHeight="1" x14ac:dyDescent="0.3">
      <c r="A801" s="23"/>
      <c r="B801"/>
    </row>
    <row r="802" spans="1:2" ht="16.5" customHeight="1" x14ac:dyDescent="0.3">
      <c r="A802" s="23"/>
      <c r="B802"/>
    </row>
    <row r="803" spans="1:2" ht="16.5" customHeight="1" x14ac:dyDescent="0.3">
      <c r="A803" s="23"/>
      <c r="B803"/>
    </row>
    <row r="804" spans="1:2" ht="16.5" customHeight="1" x14ac:dyDescent="0.3">
      <c r="A804" s="23"/>
      <c r="B804"/>
    </row>
    <row r="805" spans="1:2" ht="16.5" customHeight="1" x14ac:dyDescent="0.3">
      <c r="A805" s="23"/>
      <c r="B805"/>
    </row>
    <row r="806" spans="1:2" ht="16.5" customHeight="1" x14ac:dyDescent="0.3">
      <c r="A806" s="23"/>
      <c r="B806"/>
    </row>
    <row r="807" spans="1:2" ht="16.5" customHeight="1" x14ac:dyDescent="0.3">
      <c r="A807" s="23"/>
      <c r="B807"/>
    </row>
    <row r="808" spans="1:2" ht="16.5" customHeight="1" x14ac:dyDescent="0.3">
      <c r="A808" s="23"/>
      <c r="B808"/>
    </row>
    <row r="809" spans="1:2" ht="16.5" customHeight="1" x14ac:dyDescent="0.3">
      <c r="A809" s="23"/>
      <c r="B809"/>
    </row>
    <row r="810" spans="1:2" ht="16.5" customHeight="1" x14ac:dyDescent="0.3">
      <c r="A810" s="23"/>
      <c r="B810"/>
    </row>
    <row r="811" spans="1:2" ht="16.5" customHeight="1" x14ac:dyDescent="0.3">
      <c r="A811" s="23"/>
      <c r="B811"/>
    </row>
    <row r="812" spans="1:2" ht="16.5" customHeight="1" x14ac:dyDescent="0.3">
      <c r="A812" s="23"/>
      <c r="B812"/>
    </row>
    <row r="813" spans="1:2" ht="16.5" customHeight="1" x14ac:dyDescent="0.3">
      <c r="A813" s="23"/>
      <c r="B813"/>
    </row>
    <row r="814" spans="1:2" ht="16.5" customHeight="1" x14ac:dyDescent="0.3">
      <c r="A814" s="23"/>
      <c r="B814"/>
    </row>
    <row r="815" spans="1:2" ht="16.5" customHeight="1" x14ac:dyDescent="0.3">
      <c r="A815" s="23"/>
      <c r="B815"/>
    </row>
    <row r="816" spans="1:2" ht="16.5" customHeight="1" x14ac:dyDescent="0.3">
      <c r="A816" s="23"/>
      <c r="B816"/>
    </row>
    <row r="817" spans="1:2" ht="16.5" customHeight="1" x14ac:dyDescent="0.3">
      <c r="A817" s="23"/>
      <c r="B817"/>
    </row>
    <row r="818" spans="1:2" ht="16.5" customHeight="1" x14ac:dyDescent="0.3">
      <c r="A818" s="23"/>
      <c r="B818"/>
    </row>
    <row r="819" spans="1:2" ht="16.5" customHeight="1" x14ac:dyDescent="0.3">
      <c r="A819" s="23"/>
      <c r="B819"/>
    </row>
    <row r="820" spans="1:2" ht="16.5" customHeight="1" x14ac:dyDescent="0.3">
      <c r="A820" s="23"/>
      <c r="B820"/>
    </row>
    <row r="821" spans="1:2" ht="16.5" customHeight="1" x14ac:dyDescent="0.3">
      <c r="A821" s="23"/>
      <c r="B821"/>
    </row>
    <row r="822" spans="1:2" ht="16.5" customHeight="1" x14ac:dyDescent="0.3">
      <c r="A822" s="23"/>
      <c r="B822"/>
    </row>
    <row r="823" spans="1:2" ht="16.5" customHeight="1" x14ac:dyDescent="0.3">
      <c r="A823" s="23"/>
      <c r="B823"/>
    </row>
    <row r="824" spans="1:2" ht="16.5" customHeight="1" x14ac:dyDescent="0.3">
      <c r="A824" s="23"/>
      <c r="B824"/>
    </row>
    <row r="825" spans="1:2" ht="16.5" customHeight="1" x14ac:dyDescent="0.3">
      <c r="A825" s="23"/>
      <c r="B825"/>
    </row>
    <row r="826" spans="1:2" ht="16.5" customHeight="1" x14ac:dyDescent="0.3">
      <c r="A826" s="23"/>
      <c r="B826"/>
    </row>
    <row r="827" spans="1:2" ht="16.5" customHeight="1" x14ac:dyDescent="0.3">
      <c r="A827" s="23"/>
      <c r="B827"/>
    </row>
    <row r="828" spans="1:2" ht="16.5" customHeight="1" x14ac:dyDescent="0.3">
      <c r="A828" s="23"/>
      <c r="B828"/>
    </row>
    <row r="829" spans="1:2" ht="16.5" customHeight="1" x14ac:dyDescent="0.3">
      <c r="A829" s="23"/>
      <c r="B829"/>
    </row>
    <row r="830" spans="1:2" ht="16.5" customHeight="1" x14ac:dyDescent="0.3">
      <c r="A830" s="23"/>
      <c r="B830"/>
    </row>
    <row r="831" spans="1:2" ht="16.5" customHeight="1" x14ac:dyDescent="0.3">
      <c r="A831" s="23"/>
      <c r="B831"/>
    </row>
    <row r="832" spans="1:2" ht="16.5" customHeight="1" x14ac:dyDescent="0.3">
      <c r="A832" s="23"/>
      <c r="B832"/>
    </row>
    <row r="833" spans="1:2" ht="16.5" customHeight="1" x14ac:dyDescent="0.3">
      <c r="A833" s="23"/>
      <c r="B833"/>
    </row>
    <row r="834" spans="1:2" ht="16.5" customHeight="1" x14ac:dyDescent="0.3">
      <c r="A834" s="23"/>
      <c r="B834"/>
    </row>
    <row r="835" spans="1:2" ht="16.5" customHeight="1" x14ac:dyDescent="0.3">
      <c r="A835" s="23"/>
      <c r="B835"/>
    </row>
    <row r="836" spans="1:2" ht="16.5" customHeight="1" x14ac:dyDescent="0.3">
      <c r="A836" s="23"/>
      <c r="B836"/>
    </row>
    <row r="837" spans="1:2" ht="16.5" customHeight="1" x14ac:dyDescent="0.3">
      <c r="A837" s="23"/>
      <c r="B837"/>
    </row>
    <row r="838" spans="1:2" ht="16.5" customHeight="1" x14ac:dyDescent="0.3">
      <c r="A838" s="23"/>
      <c r="B838"/>
    </row>
    <row r="839" spans="1:2" ht="16.5" customHeight="1" x14ac:dyDescent="0.3">
      <c r="A839" s="23"/>
      <c r="B839"/>
    </row>
    <row r="840" spans="1:2" ht="16.5" customHeight="1" x14ac:dyDescent="0.3">
      <c r="A840" s="23"/>
      <c r="B840"/>
    </row>
    <row r="841" spans="1:2" ht="16.5" customHeight="1" x14ac:dyDescent="0.3">
      <c r="A841" s="23"/>
      <c r="B841"/>
    </row>
    <row r="842" spans="1:2" ht="16.5" customHeight="1" x14ac:dyDescent="0.3">
      <c r="A842" s="23"/>
      <c r="B842"/>
    </row>
    <row r="843" spans="1:2" ht="16.5" customHeight="1" x14ac:dyDescent="0.3">
      <c r="A843" s="23"/>
      <c r="B843"/>
    </row>
    <row r="844" spans="1:2" ht="16.5" customHeight="1" x14ac:dyDescent="0.3">
      <c r="A844" s="23"/>
      <c r="B844"/>
    </row>
    <row r="845" spans="1:2" ht="16.5" customHeight="1" x14ac:dyDescent="0.3">
      <c r="A845" s="23"/>
      <c r="B845"/>
    </row>
    <row r="846" spans="1:2" ht="16.5" customHeight="1" x14ac:dyDescent="0.3">
      <c r="A846" s="23"/>
      <c r="B846"/>
    </row>
    <row r="847" spans="1:2" ht="16.5" customHeight="1" x14ac:dyDescent="0.3">
      <c r="A847" s="23"/>
      <c r="B847"/>
    </row>
    <row r="848" spans="1:2" ht="16.5" customHeight="1" x14ac:dyDescent="0.3">
      <c r="A848" s="23"/>
      <c r="B848"/>
    </row>
    <row r="849" spans="1:2" ht="16.5" customHeight="1" x14ac:dyDescent="0.3">
      <c r="A849" s="23"/>
      <c r="B849"/>
    </row>
    <row r="850" spans="1:2" ht="16.5" customHeight="1" x14ac:dyDescent="0.3">
      <c r="A850" s="23"/>
      <c r="B850"/>
    </row>
    <row r="851" spans="1:2" ht="16.5" customHeight="1" x14ac:dyDescent="0.3">
      <c r="A851" s="23"/>
      <c r="B851"/>
    </row>
    <row r="852" spans="1:2" ht="16.5" customHeight="1" x14ac:dyDescent="0.3">
      <c r="A852" s="23"/>
      <c r="B852"/>
    </row>
    <row r="853" spans="1:2" ht="16.5" customHeight="1" x14ac:dyDescent="0.3">
      <c r="A853" s="23"/>
      <c r="B853"/>
    </row>
    <row r="854" spans="1:2" ht="16.5" customHeight="1" x14ac:dyDescent="0.3">
      <c r="A854" s="23"/>
      <c r="B854"/>
    </row>
    <row r="855" spans="1:2" ht="16.5" customHeight="1" x14ac:dyDescent="0.3">
      <c r="A855" s="23"/>
      <c r="B855"/>
    </row>
    <row r="856" spans="1:2" ht="16.5" customHeight="1" x14ac:dyDescent="0.3">
      <c r="A856" s="23"/>
      <c r="B856"/>
    </row>
    <row r="857" spans="1:2" ht="16.5" customHeight="1" x14ac:dyDescent="0.3">
      <c r="A857" s="23"/>
      <c r="B857"/>
    </row>
    <row r="858" spans="1:2" ht="16.5" customHeight="1" x14ac:dyDescent="0.3">
      <c r="A858" s="23"/>
      <c r="B858"/>
    </row>
    <row r="859" spans="1:2" ht="16.5" customHeight="1" x14ac:dyDescent="0.3">
      <c r="A859" s="23"/>
      <c r="B859"/>
    </row>
    <row r="860" spans="1:2" ht="16.5" customHeight="1" x14ac:dyDescent="0.3">
      <c r="A860" s="23"/>
      <c r="B860"/>
    </row>
    <row r="861" spans="1:2" ht="16.5" customHeight="1" x14ac:dyDescent="0.3">
      <c r="A861" s="23"/>
      <c r="B861"/>
    </row>
    <row r="862" spans="1:2" ht="16.5" customHeight="1" x14ac:dyDescent="0.3">
      <c r="A862" s="23"/>
      <c r="B862"/>
    </row>
    <row r="863" spans="1:2" ht="16.5" customHeight="1" x14ac:dyDescent="0.3">
      <c r="A863" s="23"/>
      <c r="B863"/>
    </row>
    <row r="864" spans="1:2" ht="16.5" customHeight="1" x14ac:dyDescent="0.3">
      <c r="A864" s="23"/>
      <c r="B864"/>
    </row>
    <row r="865" spans="1:2" ht="16.5" customHeight="1" x14ac:dyDescent="0.3">
      <c r="A865" s="23"/>
      <c r="B865"/>
    </row>
    <row r="866" spans="1:2" ht="16.5" customHeight="1" x14ac:dyDescent="0.3">
      <c r="A866" s="23"/>
      <c r="B866"/>
    </row>
    <row r="867" spans="1:2" ht="16.5" customHeight="1" x14ac:dyDescent="0.3">
      <c r="A867" s="23"/>
      <c r="B867"/>
    </row>
    <row r="868" spans="1:2" ht="16.5" customHeight="1" x14ac:dyDescent="0.3">
      <c r="A868" s="23"/>
      <c r="B868"/>
    </row>
    <row r="869" spans="1:2" ht="16.5" customHeight="1" x14ac:dyDescent="0.3">
      <c r="A869" s="23"/>
      <c r="B869"/>
    </row>
    <row r="870" spans="1:2" ht="16.5" customHeight="1" x14ac:dyDescent="0.3">
      <c r="A870" s="23"/>
      <c r="B870"/>
    </row>
    <row r="871" spans="1:2" ht="16.5" customHeight="1" x14ac:dyDescent="0.3">
      <c r="A871" s="23"/>
      <c r="B871"/>
    </row>
    <row r="872" spans="1:2" ht="16.5" customHeight="1" x14ac:dyDescent="0.3">
      <c r="A872" s="23"/>
      <c r="B872"/>
    </row>
    <row r="873" spans="1:2" ht="16.5" customHeight="1" x14ac:dyDescent="0.3">
      <c r="A873" s="23"/>
      <c r="B873"/>
    </row>
    <row r="874" spans="1:2" ht="16.5" customHeight="1" x14ac:dyDescent="0.3">
      <c r="A874" s="23"/>
      <c r="B874"/>
    </row>
    <row r="875" spans="1:2" ht="16.5" customHeight="1" x14ac:dyDescent="0.3">
      <c r="A875" s="23"/>
      <c r="B875"/>
    </row>
    <row r="876" spans="1:2" ht="16.5" customHeight="1" x14ac:dyDescent="0.3">
      <c r="A876" s="23"/>
      <c r="B876"/>
    </row>
    <row r="877" spans="1:2" ht="16.5" customHeight="1" x14ac:dyDescent="0.3">
      <c r="A877" s="23"/>
      <c r="B877"/>
    </row>
    <row r="878" spans="1:2" ht="16.5" customHeight="1" x14ac:dyDescent="0.3">
      <c r="A878" s="23"/>
      <c r="B878"/>
    </row>
    <row r="879" spans="1:2" ht="16.5" customHeight="1" x14ac:dyDescent="0.3">
      <c r="A879" s="23"/>
      <c r="B879"/>
    </row>
    <row r="880" spans="1:2" ht="16.5" customHeight="1" x14ac:dyDescent="0.3">
      <c r="A880" s="23"/>
      <c r="B880"/>
    </row>
    <row r="881" spans="1:2" ht="16.5" customHeight="1" x14ac:dyDescent="0.3">
      <c r="A881" s="23"/>
      <c r="B881"/>
    </row>
    <row r="882" spans="1:2" ht="16.5" customHeight="1" x14ac:dyDescent="0.3">
      <c r="A882" s="23"/>
      <c r="B882"/>
    </row>
    <row r="883" spans="1:2" ht="16.5" customHeight="1" x14ac:dyDescent="0.3">
      <c r="A883" s="23"/>
      <c r="B883"/>
    </row>
    <row r="884" spans="1:2" ht="16.5" customHeight="1" x14ac:dyDescent="0.3">
      <c r="A884" s="23"/>
      <c r="B884"/>
    </row>
    <row r="885" spans="1:2" ht="16.5" customHeight="1" x14ac:dyDescent="0.3">
      <c r="A885" s="23"/>
      <c r="B885"/>
    </row>
    <row r="886" spans="1:2" ht="16.5" customHeight="1" x14ac:dyDescent="0.3">
      <c r="A886" s="23"/>
      <c r="B886"/>
    </row>
    <row r="887" spans="1:2" ht="16.5" customHeight="1" x14ac:dyDescent="0.3">
      <c r="A887" s="23"/>
      <c r="B887"/>
    </row>
    <row r="888" spans="1:2" ht="16.5" customHeight="1" x14ac:dyDescent="0.3">
      <c r="A888" s="23"/>
      <c r="B888"/>
    </row>
    <row r="889" spans="1:2" ht="16.5" customHeight="1" x14ac:dyDescent="0.3">
      <c r="A889" s="23"/>
      <c r="B889"/>
    </row>
    <row r="890" spans="1:2" ht="16.5" customHeight="1" x14ac:dyDescent="0.3">
      <c r="A890" s="23"/>
      <c r="B890"/>
    </row>
    <row r="891" spans="1:2" ht="16.5" customHeight="1" x14ac:dyDescent="0.3">
      <c r="A891" s="23"/>
      <c r="B891"/>
    </row>
    <row r="892" spans="1:2" ht="16.5" customHeight="1" x14ac:dyDescent="0.3">
      <c r="A892" s="23"/>
      <c r="B892"/>
    </row>
    <row r="893" spans="1:2" ht="16.5" customHeight="1" x14ac:dyDescent="0.3">
      <c r="A893" s="23"/>
      <c r="B893"/>
    </row>
    <row r="894" spans="1:2" ht="16.5" customHeight="1" x14ac:dyDescent="0.3">
      <c r="A894" s="23"/>
      <c r="B894"/>
    </row>
    <row r="895" spans="1:2" ht="16.5" customHeight="1" x14ac:dyDescent="0.3">
      <c r="A895" s="23"/>
      <c r="B895"/>
    </row>
    <row r="896" spans="1:2" ht="16.5" customHeight="1" x14ac:dyDescent="0.3">
      <c r="A896" s="23"/>
      <c r="B896"/>
    </row>
    <row r="897" spans="1:2" ht="16.5" customHeight="1" x14ac:dyDescent="0.3">
      <c r="A897" s="23"/>
      <c r="B897"/>
    </row>
    <row r="898" spans="1:2" ht="16.5" customHeight="1" x14ac:dyDescent="0.3">
      <c r="A898" s="23"/>
      <c r="B898"/>
    </row>
    <row r="899" spans="1:2" ht="16.5" customHeight="1" x14ac:dyDescent="0.3">
      <c r="A899" s="23"/>
      <c r="B899"/>
    </row>
    <row r="900" spans="1:2" ht="16.5" customHeight="1" x14ac:dyDescent="0.3">
      <c r="A900" s="23"/>
      <c r="B900"/>
    </row>
    <row r="901" spans="1:2" ht="16.5" customHeight="1" x14ac:dyDescent="0.3">
      <c r="A901" s="23"/>
      <c r="B901"/>
    </row>
    <row r="902" spans="1:2" ht="16.5" customHeight="1" x14ac:dyDescent="0.3">
      <c r="A902" s="23"/>
      <c r="B902"/>
    </row>
    <row r="903" spans="1:2" ht="16.5" customHeight="1" x14ac:dyDescent="0.3">
      <c r="A903" s="23"/>
      <c r="B903"/>
    </row>
    <row r="904" spans="1:2" ht="16.5" customHeight="1" x14ac:dyDescent="0.3">
      <c r="A904" s="23"/>
      <c r="B904"/>
    </row>
    <row r="905" spans="1:2" ht="16.5" customHeight="1" x14ac:dyDescent="0.3">
      <c r="A905" s="23"/>
      <c r="B905"/>
    </row>
    <row r="906" spans="1:2" ht="16.5" customHeight="1" x14ac:dyDescent="0.3">
      <c r="A906" s="23"/>
      <c r="B906"/>
    </row>
    <row r="907" spans="1:2" ht="16.5" customHeight="1" x14ac:dyDescent="0.3">
      <c r="A907" s="23"/>
      <c r="B907"/>
    </row>
    <row r="908" spans="1:2" ht="16.5" customHeight="1" x14ac:dyDescent="0.3">
      <c r="A908" s="23"/>
      <c r="B908"/>
    </row>
    <row r="909" spans="1:2" ht="16.5" customHeight="1" x14ac:dyDescent="0.3">
      <c r="A909" s="23"/>
      <c r="B909"/>
    </row>
    <row r="910" spans="1:2" ht="16.5" customHeight="1" x14ac:dyDescent="0.3">
      <c r="A910" s="23"/>
      <c r="B910"/>
    </row>
    <row r="911" spans="1:2" ht="16.5" customHeight="1" x14ac:dyDescent="0.3">
      <c r="A911" s="23"/>
      <c r="B911"/>
    </row>
    <row r="912" spans="1:2" ht="16.5" customHeight="1" x14ac:dyDescent="0.3">
      <c r="A912" s="23"/>
      <c r="B912"/>
    </row>
    <row r="913" spans="1:2" ht="16.5" customHeight="1" x14ac:dyDescent="0.3">
      <c r="A913" s="23"/>
      <c r="B913"/>
    </row>
    <row r="914" spans="1:2" ht="16.5" customHeight="1" x14ac:dyDescent="0.3">
      <c r="A914" s="23"/>
      <c r="B914"/>
    </row>
    <row r="915" spans="1:2" ht="16.5" customHeight="1" x14ac:dyDescent="0.3">
      <c r="A915" s="23"/>
      <c r="B915"/>
    </row>
    <row r="916" spans="1:2" ht="16.5" customHeight="1" x14ac:dyDescent="0.3">
      <c r="A916" s="23"/>
      <c r="B916"/>
    </row>
    <row r="917" spans="1:2" ht="16.5" customHeight="1" x14ac:dyDescent="0.3">
      <c r="A917" s="23"/>
      <c r="B917"/>
    </row>
    <row r="918" spans="1:2" ht="16.5" customHeight="1" x14ac:dyDescent="0.3">
      <c r="A918" s="23"/>
      <c r="B918"/>
    </row>
    <row r="919" spans="1:2" ht="16.5" customHeight="1" x14ac:dyDescent="0.3">
      <c r="A919" s="23"/>
      <c r="B919"/>
    </row>
    <row r="920" spans="1:2" ht="16.5" customHeight="1" x14ac:dyDescent="0.3">
      <c r="A920" s="23"/>
      <c r="B920"/>
    </row>
    <row r="921" spans="1:2" ht="16.5" customHeight="1" x14ac:dyDescent="0.3">
      <c r="A921" s="23"/>
      <c r="B921"/>
    </row>
    <row r="922" spans="1:2" ht="16.5" customHeight="1" x14ac:dyDescent="0.3">
      <c r="A922" s="23"/>
      <c r="B922"/>
    </row>
    <row r="923" spans="1:2" ht="16.5" customHeight="1" x14ac:dyDescent="0.3">
      <c r="A923" s="23"/>
      <c r="B923"/>
    </row>
    <row r="924" spans="1:2" ht="16.5" customHeight="1" x14ac:dyDescent="0.3">
      <c r="A924" s="23"/>
      <c r="B924"/>
    </row>
    <row r="925" spans="1:2" ht="16.5" customHeight="1" x14ac:dyDescent="0.3">
      <c r="A925" s="23"/>
      <c r="B925"/>
    </row>
    <row r="926" spans="1:2" ht="16.5" customHeight="1" x14ac:dyDescent="0.3">
      <c r="A926" s="23"/>
      <c r="B926"/>
    </row>
    <row r="927" spans="1:2" ht="16.5" customHeight="1" x14ac:dyDescent="0.3">
      <c r="A927" s="23"/>
      <c r="B927"/>
    </row>
    <row r="928" spans="1:2" ht="16.5" customHeight="1" x14ac:dyDescent="0.3">
      <c r="A928" s="23"/>
      <c r="B928"/>
    </row>
    <row r="929" spans="1:2" ht="16.5" customHeight="1" x14ac:dyDescent="0.3">
      <c r="A929" s="23"/>
      <c r="B929"/>
    </row>
    <row r="930" spans="1:2" ht="16.5" customHeight="1" x14ac:dyDescent="0.3">
      <c r="A930" s="23"/>
      <c r="B930"/>
    </row>
    <row r="931" spans="1:2" ht="16.5" customHeight="1" x14ac:dyDescent="0.3">
      <c r="A931" s="23"/>
      <c r="B931"/>
    </row>
    <row r="932" spans="1:2" ht="16.5" customHeight="1" x14ac:dyDescent="0.3">
      <c r="A932" s="23"/>
      <c r="B932"/>
    </row>
    <row r="933" spans="1:2" ht="16.5" customHeight="1" x14ac:dyDescent="0.3">
      <c r="A933" s="23"/>
      <c r="B933"/>
    </row>
    <row r="934" spans="1:2" ht="16.5" customHeight="1" x14ac:dyDescent="0.3">
      <c r="A934" s="23"/>
      <c r="B934"/>
    </row>
    <row r="935" spans="1:2" ht="16.5" customHeight="1" x14ac:dyDescent="0.3">
      <c r="A935" s="23"/>
      <c r="B935"/>
    </row>
    <row r="936" spans="1:2" ht="16.5" customHeight="1" x14ac:dyDescent="0.3">
      <c r="A936" s="23"/>
      <c r="B936"/>
    </row>
    <row r="937" spans="1:2" ht="16.5" customHeight="1" x14ac:dyDescent="0.3">
      <c r="A937" s="23"/>
      <c r="B937"/>
    </row>
    <row r="938" spans="1:2" ht="16.5" customHeight="1" x14ac:dyDescent="0.3">
      <c r="A938" s="23"/>
      <c r="B938"/>
    </row>
    <row r="939" spans="1:2" ht="16.5" customHeight="1" x14ac:dyDescent="0.3">
      <c r="A939" s="23"/>
      <c r="B939"/>
    </row>
    <row r="940" spans="1:2" ht="16.5" customHeight="1" x14ac:dyDescent="0.3">
      <c r="A940" s="23"/>
      <c r="B940"/>
    </row>
    <row r="941" spans="1:2" ht="16.5" customHeight="1" x14ac:dyDescent="0.3">
      <c r="A941" s="23"/>
      <c r="B941"/>
    </row>
    <row r="942" spans="1:2" ht="16.5" customHeight="1" x14ac:dyDescent="0.3">
      <c r="A942" s="23"/>
      <c r="B942"/>
    </row>
    <row r="943" spans="1:2" ht="16.5" customHeight="1" x14ac:dyDescent="0.3">
      <c r="A943" s="23"/>
      <c r="B943"/>
    </row>
    <row r="944" spans="1:2" ht="16.5" customHeight="1" x14ac:dyDescent="0.3">
      <c r="A944" s="23"/>
      <c r="B944"/>
    </row>
    <row r="945" spans="1:2" ht="16.5" customHeight="1" x14ac:dyDescent="0.3">
      <c r="A945" s="23"/>
      <c r="B945"/>
    </row>
    <row r="946" spans="1:2" ht="16.5" customHeight="1" x14ac:dyDescent="0.3">
      <c r="A946" s="23"/>
      <c r="B946"/>
    </row>
    <row r="947" spans="1:2" ht="16.5" customHeight="1" x14ac:dyDescent="0.3">
      <c r="A947" s="23"/>
      <c r="B947"/>
    </row>
    <row r="948" spans="1:2" ht="16.5" customHeight="1" x14ac:dyDescent="0.3">
      <c r="A948" s="23"/>
      <c r="B948"/>
    </row>
    <row r="949" spans="1:2" ht="16.5" customHeight="1" x14ac:dyDescent="0.3">
      <c r="A949" s="23"/>
      <c r="B949"/>
    </row>
    <row r="950" spans="1:2" ht="16.5" customHeight="1" x14ac:dyDescent="0.3">
      <c r="A950" s="23"/>
      <c r="B950"/>
    </row>
    <row r="951" spans="1:2" ht="16.5" customHeight="1" x14ac:dyDescent="0.3">
      <c r="A951" s="23"/>
      <c r="B951"/>
    </row>
    <row r="952" spans="1:2" ht="16.5" customHeight="1" x14ac:dyDescent="0.3">
      <c r="A952" s="23"/>
      <c r="B952"/>
    </row>
    <row r="953" spans="1:2" ht="16.5" customHeight="1" x14ac:dyDescent="0.3">
      <c r="A953" s="23"/>
      <c r="B953"/>
    </row>
    <row r="954" spans="1:2" ht="16.5" customHeight="1" x14ac:dyDescent="0.3">
      <c r="A954" s="23"/>
      <c r="B954"/>
    </row>
    <row r="955" spans="1:2" ht="16.5" customHeight="1" x14ac:dyDescent="0.3">
      <c r="A955" s="23"/>
      <c r="B955"/>
    </row>
    <row r="956" spans="1:2" ht="16.5" customHeight="1" x14ac:dyDescent="0.3">
      <c r="A956" s="23"/>
      <c r="B956"/>
    </row>
    <row r="957" spans="1:2" ht="16.5" customHeight="1" x14ac:dyDescent="0.3">
      <c r="A957" s="23"/>
      <c r="B957"/>
    </row>
    <row r="958" spans="1:2" ht="16.5" customHeight="1" x14ac:dyDescent="0.3">
      <c r="A958" s="23"/>
      <c r="B958"/>
    </row>
    <row r="959" spans="1:2" ht="16.5" customHeight="1" x14ac:dyDescent="0.3">
      <c r="A959" s="23"/>
      <c r="B959"/>
    </row>
    <row r="960" spans="1:2" ht="16.5" customHeight="1" x14ac:dyDescent="0.3">
      <c r="A960" s="23"/>
      <c r="B960"/>
    </row>
    <row r="961" spans="1:2" ht="16.5" customHeight="1" x14ac:dyDescent="0.3">
      <c r="A961" s="23"/>
      <c r="B961"/>
    </row>
    <row r="962" spans="1:2" ht="16.5" customHeight="1" x14ac:dyDescent="0.3">
      <c r="A962" s="23"/>
      <c r="B962"/>
    </row>
    <row r="963" spans="1:2" ht="16.5" customHeight="1" x14ac:dyDescent="0.3">
      <c r="A963" s="23"/>
      <c r="B963"/>
    </row>
    <row r="964" spans="1:2" ht="16.5" customHeight="1" x14ac:dyDescent="0.3">
      <c r="A964" s="23"/>
      <c r="B964"/>
    </row>
    <row r="965" spans="1:2" ht="16.5" customHeight="1" x14ac:dyDescent="0.3">
      <c r="A965" s="23"/>
      <c r="B965"/>
    </row>
    <row r="966" spans="1:2" ht="16.5" customHeight="1" x14ac:dyDescent="0.3">
      <c r="A966" s="23"/>
      <c r="B966"/>
    </row>
    <row r="967" spans="1:2" ht="16.5" customHeight="1" x14ac:dyDescent="0.3">
      <c r="A967" s="23"/>
      <c r="B967"/>
    </row>
    <row r="968" spans="1:2" ht="16.5" customHeight="1" x14ac:dyDescent="0.3">
      <c r="A968" s="23"/>
      <c r="B968"/>
    </row>
    <row r="969" spans="1:2" ht="16.5" customHeight="1" x14ac:dyDescent="0.3">
      <c r="A969" s="23"/>
      <c r="B969"/>
    </row>
    <row r="970" spans="1:2" ht="16.5" customHeight="1" x14ac:dyDescent="0.3">
      <c r="A970" s="23"/>
      <c r="B970"/>
    </row>
    <row r="971" spans="1:2" ht="16.5" customHeight="1" x14ac:dyDescent="0.3">
      <c r="A971" s="23"/>
      <c r="B971"/>
    </row>
    <row r="972" spans="1:2" ht="16.5" customHeight="1" x14ac:dyDescent="0.3">
      <c r="A972" s="23"/>
      <c r="B972"/>
    </row>
    <row r="973" spans="1:2" ht="16.5" customHeight="1" x14ac:dyDescent="0.3">
      <c r="A973" s="23"/>
      <c r="B973"/>
    </row>
    <row r="974" spans="1:2" ht="16.5" customHeight="1" x14ac:dyDescent="0.3">
      <c r="A974" s="23"/>
      <c r="B974"/>
    </row>
    <row r="975" spans="1:2" ht="16.5" customHeight="1" x14ac:dyDescent="0.3">
      <c r="A975" s="23"/>
      <c r="B975"/>
    </row>
    <row r="976" spans="1:2" ht="16.5" customHeight="1" x14ac:dyDescent="0.3">
      <c r="A976" s="23"/>
      <c r="B976"/>
    </row>
    <row r="977" spans="1:2" ht="16.5" customHeight="1" x14ac:dyDescent="0.3">
      <c r="A977" s="23"/>
      <c r="B977"/>
    </row>
    <row r="978" spans="1:2" ht="16.5" customHeight="1" x14ac:dyDescent="0.3">
      <c r="A978" s="23"/>
      <c r="B978"/>
    </row>
    <row r="979" spans="1:2" ht="16.5" customHeight="1" x14ac:dyDescent="0.3">
      <c r="A979" s="23"/>
      <c r="B979"/>
    </row>
    <row r="980" spans="1:2" ht="16.5" customHeight="1" x14ac:dyDescent="0.3">
      <c r="A980" s="23"/>
      <c r="B980"/>
    </row>
    <row r="981" spans="1:2" ht="16.5" customHeight="1" x14ac:dyDescent="0.3">
      <c r="A981" s="23"/>
      <c r="B981"/>
    </row>
    <row r="982" spans="1:2" ht="16.5" customHeight="1" x14ac:dyDescent="0.3">
      <c r="A982" s="23"/>
      <c r="B982"/>
    </row>
    <row r="983" spans="1:2" ht="16.5" customHeight="1" x14ac:dyDescent="0.3">
      <c r="A983" s="23"/>
      <c r="B983"/>
    </row>
    <row r="984" spans="1:2" ht="16.5" customHeight="1" x14ac:dyDescent="0.3">
      <c r="A984" s="23"/>
      <c r="B984"/>
    </row>
    <row r="985" spans="1:2" ht="16.5" customHeight="1" x14ac:dyDescent="0.3">
      <c r="A985" s="23"/>
      <c r="B985"/>
    </row>
    <row r="986" spans="1:2" ht="16.5" customHeight="1" x14ac:dyDescent="0.3">
      <c r="A986" s="23"/>
      <c r="B986"/>
    </row>
    <row r="987" spans="1:2" ht="16.5" customHeight="1" x14ac:dyDescent="0.3">
      <c r="A987" s="23"/>
      <c r="B987"/>
    </row>
    <row r="988" spans="1:2" ht="16.5" customHeight="1" x14ac:dyDescent="0.3">
      <c r="A988" s="23"/>
      <c r="B988"/>
    </row>
    <row r="989" spans="1:2" ht="16.5" customHeight="1" x14ac:dyDescent="0.3">
      <c r="A989" s="23"/>
      <c r="B989"/>
    </row>
    <row r="990" spans="1:2" ht="16.5" customHeight="1" x14ac:dyDescent="0.3">
      <c r="A990" s="23"/>
      <c r="B990"/>
    </row>
    <row r="991" spans="1:2" ht="16.5" customHeight="1" x14ac:dyDescent="0.3">
      <c r="A991" s="23"/>
      <c r="B991"/>
    </row>
    <row r="992" spans="1:2" ht="16.5" customHeight="1" x14ac:dyDescent="0.3">
      <c r="A992" s="23"/>
      <c r="B992"/>
    </row>
    <row r="993" spans="1:2" ht="16.5" customHeight="1" x14ac:dyDescent="0.3">
      <c r="A993" s="23"/>
      <c r="B993"/>
    </row>
    <row r="994" spans="1:2" ht="16.5" customHeight="1" x14ac:dyDescent="0.3">
      <c r="A994" s="23"/>
      <c r="B994"/>
    </row>
    <row r="995" spans="1:2" ht="16.5" customHeight="1" x14ac:dyDescent="0.3">
      <c r="A995" s="23"/>
      <c r="B995"/>
    </row>
    <row r="996" spans="1:2" ht="16.5" customHeight="1" x14ac:dyDescent="0.3">
      <c r="A996" s="23"/>
      <c r="B996"/>
    </row>
    <row r="997" spans="1:2" ht="16.5" customHeight="1" x14ac:dyDescent="0.3">
      <c r="A997" s="23"/>
      <c r="B997"/>
    </row>
    <row r="998" spans="1:2" ht="16.5" customHeight="1" x14ac:dyDescent="0.3">
      <c r="A998" s="23"/>
      <c r="B998"/>
    </row>
    <row r="999" spans="1:2" ht="16.5" customHeight="1" x14ac:dyDescent="0.3">
      <c r="A999" s="23"/>
      <c r="B999"/>
    </row>
    <row r="1000" spans="1:2" ht="16.5" customHeight="1" x14ac:dyDescent="0.3">
      <c r="A1000" s="23"/>
      <c r="B1000"/>
    </row>
    <row r="1001" spans="1:2" ht="16.5" customHeight="1" x14ac:dyDescent="0.3">
      <c r="A1001" s="23"/>
      <c r="B1001"/>
    </row>
    <row r="1002" spans="1:2" ht="16.5" customHeight="1" x14ac:dyDescent="0.3">
      <c r="A1002" s="23"/>
      <c r="B1002"/>
    </row>
    <row r="1003" spans="1:2" ht="16.5" customHeight="1" x14ac:dyDescent="0.3">
      <c r="A1003" s="23"/>
      <c r="B1003"/>
    </row>
    <row r="1004" spans="1:2" ht="16.5" customHeight="1" x14ac:dyDescent="0.3">
      <c r="A1004" s="23"/>
      <c r="B1004"/>
    </row>
    <row r="1005" spans="1:2" ht="16.5" customHeight="1" x14ac:dyDescent="0.3">
      <c r="A1005" s="23"/>
      <c r="B1005"/>
    </row>
    <row r="1006" spans="1:2" ht="16.5" customHeight="1" x14ac:dyDescent="0.3">
      <c r="A1006" s="23"/>
      <c r="B1006"/>
    </row>
    <row r="1007" spans="1:2" ht="16.5" customHeight="1" x14ac:dyDescent="0.3">
      <c r="A1007" s="23"/>
      <c r="B1007"/>
    </row>
    <row r="1008" spans="1:2" ht="16.5" customHeight="1" x14ac:dyDescent="0.3">
      <c r="A1008" s="23"/>
      <c r="B1008"/>
    </row>
    <row r="1009" spans="1:2" ht="16.5" customHeight="1" x14ac:dyDescent="0.3">
      <c r="A1009" s="23"/>
      <c r="B1009"/>
    </row>
    <row r="1010" spans="1:2" ht="16.5" customHeight="1" x14ac:dyDescent="0.3">
      <c r="A1010" s="23"/>
      <c r="B1010"/>
    </row>
    <row r="1011" spans="1:2" ht="16.5" customHeight="1" x14ac:dyDescent="0.3">
      <c r="A1011" s="23"/>
      <c r="B1011"/>
    </row>
    <row r="1012" spans="1:2" ht="16.5" customHeight="1" x14ac:dyDescent="0.3">
      <c r="A1012" s="23"/>
      <c r="B1012"/>
    </row>
    <row r="1013" spans="1:2" ht="16.5" customHeight="1" x14ac:dyDescent="0.3">
      <c r="A1013" s="23"/>
      <c r="B1013"/>
    </row>
    <row r="1014" spans="1:2" ht="16.5" customHeight="1" x14ac:dyDescent="0.3">
      <c r="A1014" s="23"/>
      <c r="B1014"/>
    </row>
    <row r="1015" spans="1:2" ht="16.5" customHeight="1" x14ac:dyDescent="0.3">
      <c r="A1015" s="23"/>
      <c r="B1015"/>
    </row>
    <row r="1016" spans="1:2" ht="16.5" customHeight="1" x14ac:dyDescent="0.3">
      <c r="A1016" s="23"/>
      <c r="B1016"/>
    </row>
    <row r="1017" spans="1:2" ht="16.5" customHeight="1" x14ac:dyDescent="0.3">
      <c r="A1017" s="23"/>
      <c r="B1017"/>
    </row>
    <row r="1018" spans="1:2" ht="16.5" customHeight="1" x14ac:dyDescent="0.3">
      <c r="A1018" s="23"/>
      <c r="B1018"/>
    </row>
    <row r="1019" spans="1:2" ht="16.5" customHeight="1" x14ac:dyDescent="0.3">
      <c r="A1019" s="23"/>
      <c r="B1019"/>
    </row>
    <row r="1020" spans="1:2" ht="16.5" customHeight="1" x14ac:dyDescent="0.3">
      <c r="A1020" s="23"/>
      <c r="B1020"/>
    </row>
    <row r="1021" spans="1:2" ht="16.5" customHeight="1" x14ac:dyDescent="0.3">
      <c r="A1021" s="23"/>
      <c r="B1021"/>
    </row>
    <row r="1022" spans="1:2" ht="16.5" customHeight="1" x14ac:dyDescent="0.3">
      <c r="A1022" s="23"/>
      <c r="B1022"/>
    </row>
    <row r="1023" spans="1:2" ht="16.5" customHeight="1" x14ac:dyDescent="0.3">
      <c r="A1023" s="23"/>
      <c r="B1023"/>
    </row>
    <row r="1024" spans="1:2" ht="16.5" customHeight="1" x14ac:dyDescent="0.3">
      <c r="A1024" s="23"/>
      <c r="B1024"/>
    </row>
    <row r="1025" spans="1:2" ht="16.5" customHeight="1" x14ac:dyDescent="0.3">
      <c r="A1025" s="23"/>
      <c r="B1025"/>
    </row>
    <row r="1026" spans="1:2" ht="16.5" customHeight="1" x14ac:dyDescent="0.3">
      <c r="A1026" s="23"/>
      <c r="B1026"/>
    </row>
    <row r="1027" spans="1:2" ht="16.5" customHeight="1" x14ac:dyDescent="0.3">
      <c r="A1027" s="23"/>
      <c r="B1027"/>
    </row>
    <row r="1028" spans="1:2" ht="16.5" customHeight="1" x14ac:dyDescent="0.3">
      <c r="A1028" s="23"/>
      <c r="B1028"/>
    </row>
    <row r="1029" spans="1:2" ht="16.5" customHeight="1" x14ac:dyDescent="0.3">
      <c r="A1029" s="23"/>
      <c r="B1029"/>
    </row>
    <row r="1030" spans="1:2" ht="16.5" customHeight="1" x14ac:dyDescent="0.3">
      <c r="A1030" s="23"/>
      <c r="B1030"/>
    </row>
    <row r="1031" spans="1:2" ht="16.5" customHeight="1" x14ac:dyDescent="0.3">
      <c r="A1031" s="23"/>
      <c r="B1031"/>
    </row>
    <row r="1032" spans="1:2" ht="16.5" customHeight="1" x14ac:dyDescent="0.3">
      <c r="A1032" s="23"/>
      <c r="B1032"/>
    </row>
    <row r="1033" spans="1:2" ht="16.5" customHeight="1" x14ac:dyDescent="0.3">
      <c r="A1033" s="23"/>
      <c r="B1033"/>
    </row>
    <row r="1034" spans="1:2" ht="16.5" customHeight="1" x14ac:dyDescent="0.3">
      <c r="A1034" s="23"/>
      <c r="B1034"/>
    </row>
    <row r="1035" spans="1:2" ht="16.5" customHeight="1" x14ac:dyDescent="0.3">
      <c r="A1035" s="23"/>
      <c r="B1035"/>
    </row>
    <row r="1036" spans="1:2" ht="16.5" customHeight="1" x14ac:dyDescent="0.3">
      <c r="A1036" s="23"/>
      <c r="B1036"/>
    </row>
    <row r="1037" spans="1:2" ht="16.5" customHeight="1" x14ac:dyDescent="0.3">
      <c r="A1037" s="23"/>
      <c r="B1037"/>
    </row>
    <row r="1038" spans="1:2" ht="16.5" customHeight="1" x14ac:dyDescent="0.3">
      <c r="A1038" s="23"/>
      <c r="B1038"/>
    </row>
    <row r="1039" spans="1:2" ht="16.5" customHeight="1" x14ac:dyDescent="0.3">
      <c r="A1039" s="23"/>
      <c r="B1039"/>
    </row>
    <row r="1040" spans="1:2" ht="16.5" customHeight="1" x14ac:dyDescent="0.3">
      <c r="A1040" s="23"/>
      <c r="B1040"/>
    </row>
    <row r="1041" spans="1:2" ht="16.5" customHeight="1" x14ac:dyDescent="0.3">
      <c r="A1041" s="23"/>
      <c r="B1041"/>
    </row>
    <row r="1042" spans="1:2" ht="16.5" customHeight="1" x14ac:dyDescent="0.3">
      <c r="A1042" s="23"/>
      <c r="B1042"/>
    </row>
    <row r="1043" spans="1:2" ht="16.5" customHeight="1" x14ac:dyDescent="0.3">
      <c r="A1043" s="23"/>
      <c r="B1043"/>
    </row>
    <row r="1044" spans="1:2" ht="16.5" customHeight="1" x14ac:dyDescent="0.3">
      <c r="A1044" s="23"/>
      <c r="B1044"/>
    </row>
    <row r="1045" spans="1:2" ht="16.5" customHeight="1" x14ac:dyDescent="0.3">
      <c r="A1045" s="23"/>
      <c r="B1045"/>
    </row>
    <row r="1046" spans="1:2" ht="16.5" customHeight="1" x14ac:dyDescent="0.3">
      <c r="A1046" s="23"/>
      <c r="B1046"/>
    </row>
    <row r="1047" spans="1:2" ht="16.5" customHeight="1" x14ac:dyDescent="0.3">
      <c r="A1047" s="23"/>
      <c r="B1047"/>
    </row>
    <row r="1048" spans="1:2" ht="16.5" customHeight="1" x14ac:dyDescent="0.3">
      <c r="A1048" s="23"/>
      <c r="B1048"/>
    </row>
    <row r="1049" spans="1:2" ht="16.5" customHeight="1" x14ac:dyDescent="0.3">
      <c r="A1049" s="23"/>
      <c r="B1049"/>
    </row>
    <row r="1050" spans="1:2" ht="16.5" customHeight="1" x14ac:dyDescent="0.3">
      <c r="A1050" s="23"/>
      <c r="B1050"/>
    </row>
    <row r="1051" spans="1:2" ht="16.5" customHeight="1" x14ac:dyDescent="0.3">
      <c r="A1051" s="23"/>
      <c r="B1051"/>
    </row>
    <row r="1052" spans="1:2" ht="16.5" customHeight="1" x14ac:dyDescent="0.3">
      <c r="A1052" s="23"/>
      <c r="B1052"/>
    </row>
    <row r="1053" spans="1:2" ht="16.5" customHeight="1" x14ac:dyDescent="0.3">
      <c r="A1053" s="23"/>
      <c r="B1053"/>
    </row>
    <row r="1054" spans="1:2" ht="16.5" customHeight="1" x14ac:dyDescent="0.3">
      <c r="A1054" s="23"/>
      <c r="B1054"/>
    </row>
    <row r="1055" spans="1:2" ht="16.5" customHeight="1" x14ac:dyDescent="0.3">
      <c r="A1055" s="23"/>
      <c r="B1055"/>
    </row>
    <row r="1056" spans="1:2" ht="16.5" customHeight="1" x14ac:dyDescent="0.3">
      <c r="A1056" s="23"/>
      <c r="B1056"/>
    </row>
    <row r="1057" spans="1:2" ht="16.5" customHeight="1" x14ac:dyDescent="0.3">
      <c r="A1057" s="23"/>
      <c r="B1057"/>
    </row>
    <row r="1058" spans="1:2" ht="16.5" customHeight="1" x14ac:dyDescent="0.3">
      <c r="A1058" s="23"/>
      <c r="B1058"/>
    </row>
    <row r="1059" spans="1:2" ht="16.5" customHeight="1" x14ac:dyDescent="0.3">
      <c r="A1059" s="23"/>
      <c r="B1059"/>
    </row>
    <row r="1060" spans="1:2" ht="16.5" customHeight="1" x14ac:dyDescent="0.3">
      <c r="A1060" s="23"/>
      <c r="B1060"/>
    </row>
    <row r="1061" spans="1:2" ht="16.5" customHeight="1" x14ac:dyDescent="0.3">
      <c r="A1061" s="23"/>
      <c r="B1061"/>
    </row>
    <row r="1062" spans="1:2" ht="16.5" customHeight="1" x14ac:dyDescent="0.3">
      <c r="A1062" s="23"/>
      <c r="B1062"/>
    </row>
    <row r="1063" spans="1:2" ht="16.5" customHeight="1" x14ac:dyDescent="0.3">
      <c r="A1063" s="23"/>
      <c r="B1063"/>
    </row>
    <row r="1064" spans="1:2" ht="16.5" customHeight="1" x14ac:dyDescent="0.3">
      <c r="A1064" s="23"/>
      <c r="B1064"/>
    </row>
    <row r="1065" spans="1:2" ht="16.5" customHeight="1" x14ac:dyDescent="0.3">
      <c r="A1065" s="23"/>
      <c r="B1065"/>
    </row>
    <row r="1066" spans="1:2" ht="16.5" customHeight="1" x14ac:dyDescent="0.3">
      <c r="A1066" s="23"/>
      <c r="B1066"/>
    </row>
    <row r="1067" spans="1:2" ht="16.5" customHeight="1" x14ac:dyDescent="0.3">
      <c r="A1067" s="23"/>
      <c r="B1067"/>
    </row>
    <row r="1068" spans="1:2" ht="16.5" customHeight="1" x14ac:dyDescent="0.3">
      <c r="A1068" s="23"/>
      <c r="B1068"/>
    </row>
    <row r="1069" spans="1:2" ht="16.5" customHeight="1" x14ac:dyDescent="0.3">
      <c r="A1069" s="23"/>
      <c r="B1069"/>
    </row>
    <row r="1070" spans="1:2" ht="16.5" customHeight="1" x14ac:dyDescent="0.3">
      <c r="A1070" s="23"/>
      <c r="B1070"/>
    </row>
    <row r="1071" spans="1:2" ht="16.5" customHeight="1" x14ac:dyDescent="0.3">
      <c r="A1071" s="23"/>
      <c r="B1071"/>
    </row>
    <row r="1072" spans="1:2" ht="16.5" customHeight="1" x14ac:dyDescent="0.3">
      <c r="A1072" s="23"/>
      <c r="B1072"/>
    </row>
    <row r="1073" spans="1:2" ht="16.5" customHeight="1" x14ac:dyDescent="0.3">
      <c r="A1073" s="23"/>
      <c r="B1073"/>
    </row>
    <row r="1074" spans="1:2" ht="16.5" customHeight="1" x14ac:dyDescent="0.3">
      <c r="A1074" s="23"/>
      <c r="B1074"/>
    </row>
    <row r="1075" spans="1:2" ht="16.5" customHeight="1" x14ac:dyDescent="0.3">
      <c r="A1075" s="23"/>
      <c r="B1075"/>
    </row>
    <row r="1076" spans="1:2" ht="16.5" customHeight="1" x14ac:dyDescent="0.3">
      <c r="A1076" s="23"/>
      <c r="B1076"/>
    </row>
    <row r="1077" spans="1:2" ht="16.5" customHeight="1" x14ac:dyDescent="0.3">
      <c r="A1077" s="23"/>
      <c r="B1077"/>
    </row>
    <row r="1078" spans="1:2" ht="16.5" customHeight="1" x14ac:dyDescent="0.3">
      <c r="A1078" s="23"/>
      <c r="B1078"/>
    </row>
    <row r="1079" spans="1:2" ht="16.5" customHeight="1" x14ac:dyDescent="0.3">
      <c r="A1079" s="23"/>
      <c r="B1079"/>
    </row>
    <row r="1080" spans="1:2" ht="16.5" customHeight="1" x14ac:dyDescent="0.3">
      <c r="A1080" s="23"/>
      <c r="B1080"/>
    </row>
    <row r="1081" spans="1:2" ht="16.5" customHeight="1" x14ac:dyDescent="0.3">
      <c r="A1081" s="23"/>
      <c r="B1081"/>
    </row>
    <row r="1082" spans="1:2" ht="16.5" customHeight="1" x14ac:dyDescent="0.3">
      <c r="A1082" s="23"/>
      <c r="B1082"/>
    </row>
    <row r="1083" spans="1:2" ht="16.5" customHeight="1" x14ac:dyDescent="0.3">
      <c r="A1083" s="23"/>
      <c r="B1083"/>
    </row>
    <row r="1084" spans="1:2" ht="16.5" customHeight="1" x14ac:dyDescent="0.3">
      <c r="A1084" s="23"/>
      <c r="B1084"/>
    </row>
    <row r="1085" spans="1:2" ht="16.5" customHeight="1" x14ac:dyDescent="0.3">
      <c r="A1085" s="23"/>
      <c r="B1085"/>
    </row>
    <row r="1086" spans="1:2" ht="16.5" customHeight="1" x14ac:dyDescent="0.3">
      <c r="A1086" s="23"/>
      <c r="B1086"/>
    </row>
    <row r="1087" spans="1:2" ht="16.5" customHeight="1" x14ac:dyDescent="0.3">
      <c r="A1087" s="23"/>
      <c r="B1087"/>
    </row>
    <row r="1088" spans="1:2" ht="16.5" customHeight="1" x14ac:dyDescent="0.3">
      <c r="A1088" s="23"/>
      <c r="B1088"/>
    </row>
    <row r="1089" spans="1:2" ht="16.5" customHeight="1" x14ac:dyDescent="0.3">
      <c r="A1089" s="23"/>
      <c r="B1089"/>
    </row>
    <row r="1090" spans="1:2" ht="16.5" customHeight="1" x14ac:dyDescent="0.3">
      <c r="A1090" s="23"/>
      <c r="B1090"/>
    </row>
    <row r="1091" spans="1:2" ht="16.5" customHeight="1" x14ac:dyDescent="0.3">
      <c r="A1091" s="23"/>
      <c r="B1091"/>
    </row>
    <row r="1092" spans="1:2" ht="16.5" customHeight="1" x14ac:dyDescent="0.3">
      <c r="A1092" s="23"/>
      <c r="B1092"/>
    </row>
    <row r="1093" spans="1:2" ht="16.5" customHeight="1" x14ac:dyDescent="0.3">
      <c r="A1093" s="23"/>
      <c r="B1093"/>
    </row>
    <row r="1094" spans="1:2" ht="16.5" customHeight="1" x14ac:dyDescent="0.3">
      <c r="A1094" s="23"/>
      <c r="B1094"/>
    </row>
    <row r="1095" spans="1:2" ht="16.5" customHeight="1" x14ac:dyDescent="0.3">
      <c r="A1095" s="23"/>
      <c r="B1095"/>
    </row>
    <row r="1096" spans="1:2" ht="16.5" customHeight="1" x14ac:dyDescent="0.3">
      <c r="A1096" s="23"/>
      <c r="B1096"/>
    </row>
    <row r="1097" spans="1:2" ht="16.5" customHeight="1" x14ac:dyDescent="0.3">
      <c r="A1097" s="23"/>
      <c r="B1097"/>
    </row>
    <row r="1098" spans="1:2" ht="16.5" customHeight="1" x14ac:dyDescent="0.3">
      <c r="A1098" s="23"/>
      <c r="B1098"/>
    </row>
    <row r="1099" spans="1:2" ht="16.5" customHeight="1" x14ac:dyDescent="0.3">
      <c r="A1099" s="23"/>
      <c r="B1099"/>
    </row>
    <row r="1100" spans="1:2" ht="16.5" customHeight="1" x14ac:dyDescent="0.3">
      <c r="A1100" s="23"/>
      <c r="B1100"/>
    </row>
    <row r="1101" spans="1:2" ht="16.5" customHeight="1" x14ac:dyDescent="0.3">
      <c r="A1101" s="23"/>
      <c r="B1101"/>
    </row>
    <row r="1102" spans="1:2" ht="16.5" customHeight="1" x14ac:dyDescent="0.3">
      <c r="A1102" s="23"/>
      <c r="B1102"/>
    </row>
    <row r="1103" spans="1:2" ht="16.5" customHeight="1" x14ac:dyDescent="0.3">
      <c r="A1103" s="23"/>
      <c r="B1103"/>
    </row>
    <row r="1104" spans="1:2" ht="16.5" customHeight="1" x14ac:dyDescent="0.3">
      <c r="A1104" s="23"/>
      <c r="B1104"/>
    </row>
    <row r="1105" spans="1:2" ht="16.5" customHeight="1" x14ac:dyDescent="0.3">
      <c r="A1105" s="23"/>
      <c r="B1105"/>
    </row>
    <row r="1106" spans="1:2" ht="16.5" customHeight="1" x14ac:dyDescent="0.3">
      <c r="A1106" s="23"/>
      <c r="B1106"/>
    </row>
    <row r="1107" spans="1:2" ht="16.5" customHeight="1" x14ac:dyDescent="0.3">
      <c r="A1107" s="23"/>
      <c r="B1107"/>
    </row>
    <row r="1108" spans="1:2" ht="16.5" customHeight="1" x14ac:dyDescent="0.3">
      <c r="A1108" s="23"/>
      <c r="B1108"/>
    </row>
    <row r="1109" spans="1:2" ht="16.5" customHeight="1" x14ac:dyDescent="0.3">
      <c r="A1109" s="23"/>
      <c r="B1109"/>
    </row>
    <row r="1110" spans="1:2" ht="16.5" customHeight="1" x14ac:dyDescent="0.3">
      <c r="A1110" s="23"/>
      <c r="B1110"/>
    </row>
    <row r="1111" spans="1:2" ht="16.5" customHeight="1" x14ac:dyDescent="0.3">
      <c r="A1111" s="23"/>
      <c r="B1111"/>
    </row>
    <row r="1112" spans="1:2" ht="16.5" customHeight="1" x14ac:dyDescent="0.3">
      <c r="A1112" s="23"/>
      <c r="B1112"/>
    </row>
    <row r="1113" spans="1:2" ht="16.5" customHeight="1" x14ac:dyDescent="0.3">
      <c r="A1113" s="23"/>
      <c r="B1113"/>
    </row>
    <row r="1114" spans="1:2" ht="16.5" customHeight="1" x14ac:dyDescent="0.3">
      <c r="A1114" s="23"/>
      <c r="B1114"/>
    </row>
    <row r="1115" spans="1:2" ht="16.5" customHeight="1" x14ac:dyDescent="0.3">
      <c r="A1115" s="23"/>
      <c r="B1115"/>
    </row>
    <row r="1116" spans="1:2" ht="16.5" customHeight="1" x14ac:dyDescent="0.3">
      <c r="A1116" s="23"/>
      <c r="B1116"/>
    </row>
    <row r="1117" spans="1:2" ht="16.5" customHeight="1" x14ac:dyDescent="0.3">
      <c r="A1117" s="23"/>
      <c r="B1117"/>
    </row>
    <row r="1118" spans="1:2" ht="16.5" customHeight="1" x14ac:dyDescent="0.3">
      <c r="A1118" s="23"/>
      <c r="B1118"/>
    </row>
    <row r="1119" spans="1:2" ht="16.5" customHeight="1" x14ac:dyDescent="0.3">
      <c r="A1119" s="23"/>
      <c r="B1119"/>
    </row>
    <row r="1120" spans="1:2" ht="16.5" customHeight="1" x14ac:dyDescent="0.3">
      <c r="A1120" s="23"/>
      <c r="B1120"/>
    </row>
    <row r="1121" spans="1:2" ht="16.5" customHeight="1" x14ac:dyDescent="0.3">
      <c r="A1121" s="23"/>
      <c r="B1121"/>
    </row>
    <row r="1122" spans="1:2" ht="16.5" customHeight="1" x14ac:dyDescent="0.3">
      <c r="A1122" s="23"/>
      <c r="B1122"/>
    </row>
    <row r="1123" spans="1:2" ht="16.5" customHeight="1" x14ac:dyDescent="0.3">
      <c r="A1123" s="23"/>
      <c r="B1123"/>
    </row>
    <row r="1124" spans="1:2" ht="16.5" customHeight="1" x14ac:dyDescent="0.3">
      <c r="A1124" s="23"/>
      <c r="B1124"/>
    </row>
    <row r="1125" spans="1:2" ht="16.5" customHeight="1" x14ac:dyDescent="0.3">
      <c r="A1125" s="23"/>
      <c r="B1125"/>
    </row>
    <row r="1126" spans="1:2" ht="16.5" customHeight="1" x14ac:dyDescent="0.3">
      <c r="A1126" s="23"/>
      <c r="B1126"/>
    </row>
    <row r="1127" spans="1:2" ht="16.5" customHeight="1" x14ac:dyDescent="0.3">
      <c r="A1127" s="23"/>
      <c r="B1127"/>
    </row>
    <row r="1128" spans="1:2" ht="16.5" customHeight="1" x14ac:dyDescent="0.3">
      <c r="A1128" s="23"/>
      <c r="B1128"/>
    </row>
    <row r="1129" spans="1:2" ht="16.5" customHeight="1" x14ac:dyDescent="0.3">
      <c r="A1129" s="23"/>
      <c r="B1129"/>
    </row>
    <row r="1130" spans="1:2" ht="16.5" customHeight="1" x14ac:dyDescent="0.3">
      <c r="A1130" s="23"/>
      <c r="B1130"/>
    </row>
    <row r="1131" spans="1:2" ht="16.5" customHeight="1" x14ac:dyDescent="0.3">
      <c r="A1131" s="23"/>
      <c r="B1131"/>
    </row>
    <row r="1132" spans="1:2" ht="16.5" customHeight="1" x14ac:dyDescent="0.3">
      <c r="A1132" s="23"/>
      <c r="B1132"/>
    </row>
    <row r="1133" spans="1:2" ht="16.5" customHeight="1" x14ac:dyDescent="0.3">
      <c r="A1133" s="23"/>
      <c r="B1133"/>
    </row>
    <row r="1134" spans="1:2" ht="16.5" customHeight="1" x14ac:dyDescent="0.3">
      <c r="A1134" s="23"/>
      <c r="B1134"/>
    </row>
    <row r="1135" spans="1:2" ht="16.5" customHeight="1" x14ac:dyDescent="0.3">
      <c r="A1135" s="23"/>
      <c r="B1135"/>
    </row>
    <row r="1136" spans="1:2" ht="16.5" customHeight="1" x14ac:dyDescent="0.3">
      <c r="A1136" s="23"/>
      <c r="B1136"/>
    </row>
    <row r="1137" spans="1:2" ht="16.5" customHeight="1" x14ac:dyDescent="0.3">
      <c r="A1137" s="23"/>
      <c r="B1137"/>
    </row>
    <row r="1138" spans="1:2" ht="16.5" customHeight="1" x14ac:dyDescent="0.3">
      <c r="A1138" s="23"/>
      <c r="B1138"/>
    </row>
    <row r="1139" spans="1:2" ht="16.5" customHeight="1" x14ac:dyDescent="0.3">
      <c r="A1139" s="23"/>
      <c r="B1139"/>
    </row>
    <row r="1140" spans="1:2" ht="16.5" customHeight="1" x14ac:dyDescent="0.3">
      <c r="A1140" s="23"/>
      <c r="B1140"/>
    </row>
    <row r="1141" spans="1:2" ht="16.5" customHeight="1" x14ac:dyDescent="0.3">
      <c r="A1141" s="23"/>
      <c r="B1141"/>
    </row>
    <row r="1142" spans="1:2" ht="16.5" customHeight="1" x14ac:dyDescent="0.3">
      <c r="A1142" s="23"/>
      <c r="B1142"/>
    </row>
    <row r="1143" spans="1:2" ht="16.5" customHeight="1" x14ac:dyDescent="0.3">
      <c r="A1143" s="23"/>
      <c r="B1143"/>
    </row>
    <row r="1144" spans="1:2" ht="16.5" customHeight="1" x14ac:dyDescent="0.3">
      <c r="A1144" s="23"/>
      <c r="B1144"/>
    </row>
    <row r="1145" spans="1:2" ht="16.5" customHeight="1" x14ac:dyDescent="0.3">
      <c r="A1145" s="23"/>
      <c r="B1145"/>
    </row>
    <row r="1146" spans="1:2" ht="16.5" customHeight="1" x14ac:dyDescent="0.3">
      <c r="A1146" s="23"/>
      <c r="B1146"/>
    </row>
    <row r="1147" spans="1:2" ht="16.5" customHeight="1" x14ac:dyDescent="0.3">
      <c r="A1147" s="23"/>
      <c r="B1147"/>
    </row>
    <row r="1148" spans="1:2" ht="16.5" customHeight="1" x14ac:dyDescent="0.3">
      <c r="A1148" s="23"/>
      <c r="B1148"/>
    </row>
    <row r="1149" spans="1:2" ht="16.5" customHeight="1" x14ac:dyDescent="0.3">
      <c r="A1149" s="23"/>
      <c r="B1149"/>
    </row>
    <row r="1150" spans="1:2" ht="16.5" customHeight="1" x14ac:dyDescent="0.3">
      <c r="A1150" s="23"/>
      <c r="B1150"/>
    </row>
    <row r="1151" spans="1:2" ht="16.5" customHeight="1" x14ac:dyDescent="0.3">
      <c r="A1151" s="23"/>
      <c r="B1151"/>
    </row>
    <row r="1152" spans="1:2" ht="16.5" customHeight="1" x14ac:dyDescent="0.3">
      <c r="A1152" s="23"/>
      <c r="B1152"/>
    </row>
  </sheetData>
  <printOptions gridLines="1"/>
  <pageMargins left="0.7" right="0.7" top="0.75" bottom="0.75" header="0.3" footer="0.3"/>
  <pageSetup scale="1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22AC-A94F-4E80-A1F3-A841614EB9D4}">
  <dimension ref="A1:N34"/>
  <sheetViews>
    <sheetView tabSelected="1" workbookViewId="0">
      <selection activeCell="G33" sqref="G33"/>
    </sheetView>
  </sheetViews>
  <sheetFormatPr defaultRowHeight="12.5" x14ac:dyDescent="0.25"/>
  <cols>
    <col min="1" max="1" width="8.81640625" bestFit="1" customWidth="1"/>
    <col min="2" max="2" width="24" bestFit="1" customWidth="1"/>
    <col min="3" max="3" width="10.26953125" style="12" bestFit="1" customWidth="1"/>
    <col min="4" max="4" width="12.7265625" style="12" bestFit="1" customWidth="1"/>
    <col min="5" max="5" width="14.453125" style="12" bestFit="1" customWidth="1"/>
    <col min="6" max="6" width="13.81640625" style="26" bestFit="1" customWidth="1"/>
    <col min="7" max="8" width="13.81640625" style="12" bestFit="1" customWidth="1"/>
    <col min="9" max="9" width="16.36328125" bestFit="1" customWidth="1"/>
    <col min="10" max="10" width="15.36328125" bestFit="1" customWidth="1"/>
    <col min="12" max="12" width="15.36328125" bestFit="1" customWidth="1"/>
    <col min="14" max="14" width="14.36328125" style="12" bestFit="1" customWidth="1"/>
  </cols>
  <sheetData>
    <row r="1" spans="1:14" s="1" customFormat="1" ht="13" x14ac:dyDescent="0.3">
      <c r="B1" s="1" t="s">
        <v>63</v>
      </c>
      <c r="C1" s="11"/>
      <c r="D1" s="11"/>
      <c r="E1" s="11"/>
      <c r="F1" s="27"/>
      <c r="G1" s="11"/>
      <c r="H1" s="11"/>
      <c r="N1" s="11"/>
    </row>
    <row r="2" spans="1:14" s="1" customFormat="1" ht="13" x14ac:dyDescent="0.3">
      <c r="A2" s="1" t="s">
        <v>69</v>
      </c>
      <c r="B2" s="1" t="s">
        <v>67</v>
      </c>
      <c r="C2" s="11" t="s">
        <v>65</v>
      </c>
      <c r="D2" s="11" t="s">
        <v>66</v>
      </c>
      <c r="E2" s="11" t="s">
        <v>137</v>
      </c>
      <c r="F2" s="27" t="s">
        <v>71</v>
      </c>
      <c r="G2" s="11" t="s">
        <v>139</v>
      </c>
      <c r="H2" s="11" t="s">
        <v>251</v>
      </c>
      <c r="I2" s="1" t="s">
        <v>73</v>
      </c>
      <c r="N2" s="11"/>
    </row>
    <row r="3" spans="1:14" x14ac:dyDescent="0.25">
      <c r="A3" s="23">
        <v>45824</v>
      </c>
      <c r="B3" t="s">
        <v>214</v>
      </c>
      <c r="C3" s="12">
        <v>20038</v>
      </c>
      <c r="D3" s="12">
        <v>20000</v>
      </c>
      <c r="E3" s="12">
        <v>38</v>
      </c>
      <c r="F3" s="26">
        <f>E3/C3</f>
        <v>1.8963968459926141E-3</v>
      </c>
      <c r="G3" s="12">
        <v>12500</v>
      </c>
      <c r="H3" s="12">
        <f>D3*G3</f>
        <v>250000000</v>
      </c>
      <c r="I3" t="s">
        <v>74</v>
      </c>
    </row>
    <row r="4" spans="1:14" x14ac:dyDescent="0.25">
      <c r="A4" s="23">
        <v>45824</v>
      </c>
      <c r="B4" t="s">
        <v>141</v>
      </c>
      <c r="C4" s="12">
        <v>6000</v>
      </c>
      <c r="D4" s="12">
        <v>6000</v>
      </c>
      <c r="E4" s="12">
        <f>C4-D4</f>
        <v>0</v>
      </c>
      <c r="F4" s="26">
        <f>E4/C4</f>
        <v>0</v>
      </c>
      <c r="G4" s="12">
        <v>12000</v>
      </c>
      <c r="H4" s="12">
        <f t="shared" ref="H4" si="0">D4*G4</f>
        <v>72000000</v>
      </c>
      <c r="I4" t="s">
        <v>74</v>
      </c>
    </row>
    <row r="5" spans="1:14" x14ac:dyDescent="0.25">
      <c r="A5" s="23">
        <v>45824</v>
      </c>
      <c r="B5" t="s">
        <v>141</v>
      </c>
      <c r="C5" s="12">
        <v>2308</v>
      </c>
      <c r="D5" s="12">
        <v>2308</v>
      </c>
      <c r="E5" s="12">
        <v>0</v>
      </c>
      <c r="F5" s="26">
        <f>E5/C5</f>
        <v>0</v>
      </c>
      <c r="G5" s="12">
        <v>12200</v>
      </c>
      <c r="H5" s="12">
        <f t="shared" ref="H5:H7" si="1">D5*G5</f>
        <v>28157600</v>
      </c>
      <c r="I5" t="s">
        <v>74</v>
      </c>
    </row>
    <row r="6" spans="1:14" x14ac:dyDescent="0.25">
      <c r="A6" s="23">
        <v>45825</v>
      </c>
      <c r="B6" t="s">
        <v>227</v>
      </c>
      <c r="C6" s="12">
        <v>2441</v>
      </c>
      <c r="D6" s="12">
        <f>C6-E6</f>
        <v>2417</v>
      </c>
      <c r="E6" s="12">
        <v>24</v>
      </c>
      <c r="F6" s="26">
        <v>0.01</v>
      </c>
      <c r="G6" s="12">
        <v>12100</v>
      </c>
      <c r="H6" s="12">
        <f t="shared" si="1"/>
        <v>29245700</v>
      </c>
      <c r="I6" t="s">
        <v>74</v>
      </c>
    </row>
    <row r="7" spans="1:14" x14ac:dyDescent="0.25">
      <c r="A7" s="23">
        <v>45825</v>
      </c>
      <c r="B7" t="s">
        <v>246</v>
      </c>
      <c r="C7" s="12">
        <v>544</v>
      </c>
      <c r="D7" s="12">
        <v>533</v>
      </c>
      <c r="E7" s="12">
        <v>11</v>
      </c>
      <c r="F7" s="26">
        <v>0.02</v>
      </c>
      <c r="G7" s="12">
        <v>12100</v>
      </c>
      <c r="H7" s="12">
        <f t="shared" si="1"/>
        <v>6449300</v>
      </c>
      <c r="I7" t="s">
        <v>74</v>
      </c>
    </row>
    <row r="8" spans="1:14" s="1" customFormat="1" ht="13" x14ac:dyDescent="0.3">
      <c r="A8" s="1" t="s">
        <v>145</v>
      </c>
      <c r="C8" s="11">
        <f>SUM(C3:C7)</f>
        <v>31331</v>
      </c>
      <c r="D8" s="11">
        <f>SUM(D3:D7)</f>
        <v>31258</v>
      </c>
      <c r="E8" s="11">
        <f>SUM(E3:E7)</f>
        <v>73</v>
      </c>
      <c r="F8" s="27"/>
      <c r="G8" s="11">
        <f>AVERAGE(G3:G7)</f>
        <v>12180</v>
      </c>
      <c r="H8" s="11">
        <f>SUM(H3:H7)</f>
        <v>385852600</v>
      </c>
      <c r="N8" s="11"/>
    </row>
    <row r="9" spans="1:14" ht="13" x14ac:dyDescent="0.3">
      <c r="D9" s="11"/>
      <c r="E9" s="11"/>
    </row>
    <row r="10" spans="1:14" ht="13" x14ac:dyDescent="0.3">
      <c r="D10" s="11"/>
      <c r="E10" s="11"/>
    </row>
    <row r="11" spans="1:14" s="1" customFormat="1" ht="13" x14ac:dyDescent="0.3">
      <c r="B11" s="1" t="s">
        <v>146</v>
      </c>
      <c r="C11" s="11"/>
      <c r="D11" s="11">
        <v>25310364</v>
      </c>
      <c r="E11" s="11"/>
      <c r="F11" s="27">
        <f>D11/H8</f>
        <v>6.5595940004032627E-2</v>
      </c>
      <c r="G11" s="11"/>
      <c r="H11" s="11"/>
      <c r="I11" s="11"/>
      <c r="N11" s="11"/>
    </row>
    <row r="12" spans="1:14" ht="13" x14ac:dyDescent="0.3">
      <c r="D12" s="11"/>
      <c r="E12" s="11"/>
      <c r="J12" s="15"/>
    </row>
    <row r="13" spans="1:14" s="1" customFormat="1" ht="13" x14ac:dyDescent="0.3">
      <c r="C13" s="11"/>
      <c r="D13" s="11"/>
      <c r="E13" s="11"/>
      <c r="F13" s="11"/>
      <c r="G13" s="11"/>
      <c r="H13" s="11"/>
      <c r="L13" s="11"/>
      <c r="N13" s="11"/>
    </row>
    <row r="14" spans="1:14" ht="13" x14ac:dyDescent="0.3">
      <c r="N14" s="11"/>
    </row>
    <row r="15" spans="1:14" s="1" customFormat="1" ht="13" x14ac:dyDescent="0.3">
      <c r="B15" s="1" t="s">
        <v>148</v>
      </c>
      <c r="C15" s="11" t="s">
        <v>150</v>
      </c>
      <c r="D15" s="11" t="s">
        <v>166</v>
      </c>
      <c r="E15" s="11" t="s">
        <v>4</v>
      </c>
      <c r="F15" s="27"/>
      <c r="G15" s="11"/>
      <c r="H15" s="11"/>
      <c r="I15" s="39"/>
      <c r="N15" s="11"/>
    </row>
    <row r="16" spans="1:14" x14ac:dyDescent="0.25">
      <c r="B16" s="32" t="s">
        <v>149</v>
      </c>
      <c r="C16" s="12">
        <f>4880+218</f>
        <v>5098</v>
      </c>
      <c r="D16" s="12">
        <v>13900</v>
      </c>
      <c r="E16" s="12">
        <f>D16*C16</f>
        <v>70862200</v>
      </c>
    </row>
    <row r="17" spans="1:14" x14ac:dyDescent="0.25">
      <c r="B17" s="32" t="s">
        <v>151</v>
      </c>
      <c r="C17" s="12">
        <v>18760</v>
      </c>
      <c r="D17" s="12">
        <v>13650</v>
      </c>
      <c r="E17" s="12">
        <f>D17*C17</f>
        <v>256074000</v>
      </c>
    </row>
    <row r="18" spans="1:14" x14ac:dyDescent="0.25">
      <c r="B18" s="32" t="s">
        <v>152</v>
      </c>
      <c r="C18" s="12">
        <v>4620</v>
      </c>
      <c r="D18" s="12">
        <v>12500</v>
      </c>
      <c r="E18" s="12">
        <f t="shared" ref="E18:E22" si="2">D18*C18</f>
        <v>57750000</v>
      </c>
      <c r="I18" s="12"/>
    </row>
    <row r="19" spans="1:14" x14ac:dyDescent="0.25">
      <c r="B19" s="32"/>
      <c r="F19" s="28"/>
    </row>
    <row r="20" spans="1:14" x14ac:dyDescent="0.25">
      <c r="B20" s="32" t="s">
        <v>153</v>
      </c>
      <c r="C20" s="12">
        <f>383</f>
        <v>383</v>
      </c>
      <c r="D20" s="12">
        <v>11000</v>
      </c>
      <c r="E20" s="12">
        <f t="shared" si="2"/>
        <v>4213000</v>
      </c>
      <c r="J20" s="29"/>
    </row>
    <row r="21" spans="1:14" x14ac:dyDescent="0.25">
      <c r="B21" s="32" t="s">
        <v>244</v>
      </c>
      <c r="C21" s="12">
        <v>157</v>
      </c>
      <c r="D21" s="12">
        <v>1000</v>
      </c>
      <c r="E21" s="12">
        <f>D21*C21</f>
        <v>157000</v>
      </c>
      <c r="J21" s="29"/>
    </row>
    <row r="22" spans="1:14" x14ac:dyDescent="0.25">
      <c r="B22" s="32" t="s">
        <v>245</v>
      </c>
      <c r="C22" s="12">
        <v>114</v>
      </c>
      <c r="D22" s="12">
        <v>4500</v>
      </c>
      <c r="E22" s="12">
        <f t="shared" si="2"/>
        <v>513000</v>
      </c>
      <c r="J22" s="29"/>
    </row>
    <row r="23" spans="1:14" x14ac:dyDescent="0.25">
      <c r="B23" s="32" t="s">
        <v>157</v>
      </c>
      <c r="C23" s="12">
        <v>586</v>
      </c>
      <c r="D23" s="12">
        <v>9100</v>
      </c>
      <c r="E23" s="12">
        <f>D23*C23</f>
        <v>5332600</v>
      </c>
      <c r="I23" s="12"/>
    </row>
    <row r="24" spans="1:14" x14ac:dyDescent="0.25">
      <c r="B24" s="32" t="s">
        <v>195</v>
      </c>
      <c r="C24" s="12">
        <v>500</v>
      </c>
      <c r="D24" s="12">
        <v>12000</v>
      </c>
      <c r="E24" s="12">
        <f>D24*C24</f>
        <v>6000000</v>
      </c>
      <c r="I24" s="12"/>
    </row>
    <row r="25" spans="1:14" s="1" customFormat="1" ht="13" x14ac:dyDescent="0.3">
      <c r="B25" s="38" t="s">
        <v>145</v>
      </c>
      <c r="C25" s="11">
        <f>SUM(C16:C24)</f>
        <v>30218</v>
      </c>
      <c r="D25" s="11"/>
      <c r="E25" s="11">
        <f>SUM(E16:E24)</f>
        <v>400901800</v>
      </c>
      <c r="F25" s="27"/>
      <c r="G25" s="11"/>
      <c r="H25" s="11"/>
      <c r="N25" s="11"/>
    </row>
    <row r="27" spans="1:14" s="1" customFormat="1" ht="13" x14ac:dyDescent="0.3">
      <c r="B27" s="1" t="s">
        <v>165</v>
      </c>
      <c r="C27" s="11"/>
      <c r="D27" s="11"/>
      <c r="E27" s="11">
        <f>H8+D11</f>
        <v>411162964</v>
      </c>
      <c r="F27" s="27"/>
      <c r="G27" s="11"/>
      <c r="H27" s="11"/>
      <c r="N27" s="11"/>
    </row>
    <row r="29" spans="1:14" s="12" customFormat="1" ht="13" x14ac:dyDescent="0.3">
      <c r="A29"/>
      <c r="B29"/>
      <c r="E29" s="11">
        <f>E25-E27</f>
        <v>-10261164</v>
      </c>
      <c r="F29" s="26">
        <f>E29/E27</f>
        <v>-2.4956440386007139E-2</v>
      </c>
      <c r="I29"/>
      <c r="J29"/>
      <c r="K29"/>
      <c r="L29"/>
      <c r="M29"/>
    </row>
    <row r="31" spans="1:14" ht="13" x14ac:dyDescent="0.3">
      <c r="B31" s="1" t="s">
        <v>252</v>
      </c>
      <c r="C31" s="26">
        <f>C25/C8</f>
        <v>0.96447607800580892</v>
      </c>
    </row>
    <row r="33" spans="2:3" ht="13" x14ac:dyDescent="0.3">
      <c r="B33" s="1" t="s">
        <v>250</v>
      </c>
      <c r="C33" s="12">
        <f>C8-C25</f>
        <v>1113</v>
      </c>
    </row>
    <row r="34" spans="2:3" ht="13" x14ac:dyDescent="0.3">
      <c r="C34" s="27">
        <f>C33/C8</f>
        <v>3.5523921994191056E-2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batch 1 and 2</vt:lpstr>
      <vt:lpstr>Purchases</vt:lpstr>
      <vt:lpstr>batch 3</vt:lpstr>
      <vt:lpstr>Purchases_batch 3</vt:lpstr>
      <vt:lpstr>Purchases_batch 4</vt:lpstr>
      <vt:lpstr>batch 4</vt:lpstr>
      <vt:lpstr>Batch 5_17-06-2026</vt:lpstr>
      <vt:lpstr>Purchases_batch 5_17-06-2026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</dc:creator>
  <cp:lastModifiedBy>Michael Buteera Mugisha</cp:lastModifiedBy>
  <cp:lastPrinted>2019-04-27T10:18:58Z</cp:lastPrinted>
  <dcterms:created xsi:type="dcterms:W3CDTF">2017-05-30T05:33:09Z</dcterms:created>
  <dcterms:modified xsi:type="dcterms:W3CDTF">2026-06-24T15:44:18Z</dcterms:modified>
</cp:coreProperties>
</file>